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38400" windowHeight="19700" tabRatio="600" firstSheet="0" activeTab="0" autoFilterDateGrouping="1"/>
  </bookViews>
  <sheets>
    <sheet name="Info" sheetId="1" state="visible" r:id="rId1"/>
    <sheet name="gdp" sheetId="2" state="visible" r:id="rId2"/>
    <sheet name="inflation" sheetId="3" state="visible" r:id="rId3"/>
    <sheet name="wage_growth" sheetId="4" state="visible" r:id="rId4"/>
    <sheet name="saving_returns" sheetId="5" state="visible" r:id="rId5"/>
    <sheet name="debt_cost_low" sheetId="6" state="visible" r:id="rId6"/>
    <sheet name="debt_cost_hi" sheetId="7" state="visible" r:id="rId7"/>
    <sheet name="carer_hourly_wage" sheetId="8" state="visible" r:id="rId8"/>
    <sheet name="UK raw data" sheetId="9" state="visible" r:id="rId9"/>
  </sheets>
  <definedNames/>
  <calcPr calcId="191029" fullCalcOnLoad="1"/>
</workbook>
</file>

<file path=xl/styles.xml><?xml version="1.0" encoding="utf-8"?>
<styleSheet xmlns="http://schemas.openxmlformats.org/spreadsheetml/2006/main">
  <numFmts count="2">
    <numFmt numFmtId="164" formatCode="0.0"/>
    <numFmt numFmtId="165" formatCode="0.000"/>
  </numFmts>
  <fonts count="19">
    <font>
      <name val="Calibri"/>
      <family val="2"/>
      <color theme="1"/>
      <sz val="11"/>
      <scheme val="minor"/>
    </font>
    <font>
      <name val="Calibri"/>
      <family val="2"/>
      <sz val="11"/>
      <scheme val="minor"/>
    </font>
    <font>
      <name val="Calibri"/>
      <family val="2"/>
      <color theme="1"/>
      <sz val="11"/>
      <scheme val="minor"/>
    </font>
    <font>
      <name val="Calibri Light"/>
      <family val="2"/>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57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s>
  <fills count="35">
    <fill>
      <patternFill/>
    </fill>
    <fill>
      <patternFill patternType="gray125"/>
    </fill>
    <fill>
      <patternFill patternType="solid">
        <fgColor theme="8" tint="0.5999938962981048"/>
        <bgColor indexed="64"/>
      </patternFill>
    </fill>
    <fill>
      <patternFill patternType="solid">
        <fgColor theme="4" tint="0.5999938962981048"/>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2" fillId="0" borderId="0"/>
    <xf numFmtId="0" fontId="3" fillId="0" borderId="0"/>
    <xf numFmtId="0" fontId="4" fillId="0" borderId="1"/>
    <xf numFmtId="0" fontId="5" fillId="0" borderId="2"/>
    <xf numFmtId="0" fontId="6" fillId="0" borderId="3"/>
    <xf numFmtId="0" fontId="6" fillId="0" borderId="0"/>
    <xf numFmtId="0" fontId="7" fillId="4" borderId="0"/>
    <xf numFmtId="0" fontId="8" fillId="5" borderId="0"/>
    <xf numFmtId="0" fontId="9" fillId="6" borderId="0"/>
    <xf numFmtId="0" fontId="10" fillId="7" borderId="4"/>
    <xf numFmtId="0" fontId="11" fillId="8" borderId="5"/>
    <xf numFmtId="0" fontId="12" fillId="8" borderId="4"/>
    <xf numFmtId="0" fontId="13" fillId="0" borderId="6"/>
    <xf numFmtId="0" fontId="14" fillId="9" borderId="7"/>
    <xf numFmtId="0" fontId="15" fillId="0" borderId="0"/>
    <xf numFmtId="0" fontId="2" fillId="10" borderId="8"/>
    <xf numFmtId="0" fontId="16" fillId="0" borderId="0"/>
    <xf numFmtId="0" fontId="17" fillId="0" borderId="9"/>
    <xf numFmtId="0" fontId="18" fillId="11" borderId="0"/>
    <xf numFmtId="0" fontId="2" fillId="12" borderId="0"/>
    <xf numFmtId="0" fontId="2" fillId="13" borderId="0"/>
    <xf numFmtId="0" fontId="2" fillId="14" borderId="0"/>
    <xf numFmtId="0" fontId="18" fillId="15" borderId="0"/>
    <xf numFmtId="0" fontId="2" fillId="16" borderId="0"/>
    <xf numFmtId="0" fontId="2" fillId="17" borderId="0"/>
    <xf numFmtId="0" fontId="2" fillId="18" borderId="0"/>
    <xf numFmtId="0" fontId="18" fillId="19" borderId="0"/>
    <xf numFmtId="0" fontId="2" fillId="20" borderId="0"/>
    <xf numFmtId="0" fontId="2" fillId="21" borderId="0"/>
    <xf numFmtId="0" fontId="2" fillId="22" borderId="0"/>
    <xf numFmtId="0" fontId="18" fillId="23" borderId="0"/>
    <xf numFmtId="0" fontId="2" fillId="24" borderId="0"/>
    <xf numFmtId="0" fontId="2" fillId="25" borderId="0"/>
    <xf numFmtId="0" fontId="2" fillId="26" borderId="0"/>
    <xf numFmtId="0" fontId="18" fillId="27" borderId="0"/>
    <xf numFmtId="0" fontId="2" fillId="28" borderId="0"/>
    <xf numFmtId="0" fontId="2" fillId="29" borderId="0"/>
    <xf numFmtId="0" fontId="2" fillId="30" borderId="0"/>
    <xf numFmtId="0" fontId="18" fillId="31" borderId="0"/>
    <xf numFmtId="0" fontId="2" fillId="32" borderId="0"/>
    <xf numFmtId="0" fontId="2" fillId="33" borderId="0"/>
    <xf numFmtId="0" fontId="2" fillId="34" borderId="0"/>
  </cellStyleXfs>
  <cellXfs count="13">
    <xf numFmtId="0" fontId="0" fillId="0" borderId="0" pivotButton="0" quotePrefix="0" xfId="0"/>
    <xf numFmtId="164" fontId="0" fillId="0" borderId="0" pivotButton="0" quotePrefix="0" xfId="0"/>
    <xf numFmtId="0" fontId="1" fillId="0" borderId="0" pivotButton="0" quotePrefix="0" xfId="0"/>
    <xf numFmtId="165" fontId="0" fillId="0" borderId="0" pivotButton="0" quotePrefix="0" xfId="0"/>
    <xf numFmtId="0" fontId="0" fillId="2" borderId="0" pivotButton="0" quotePrefix="0" xfId="0"/>
    <xf numFmtId="164" fontId="0" fillId="0" borderId="0" applyAlignment="1" pivotButton="0" quotePrefix="0" xfId="0">
      <alignment horizontal="right"/>
    </xf>
    <xf numFmtId="17" fontId="0" fillId="0" borderId="0" pivotButton="0" quotePrefix="0" xfId="0"/>
    <xf numFmtId="2" fontId="0" fillId="0" borderId="0" pivotButton="0" quotePrefix="0" xfId="0"/>
    <xf numFmtId="0" fontId="0" fillId="0" borderId="0" applyAlignment="1" pivotButton="0" quotePrefix="0" xfId="0">
      <alignment horizontal="right"/>
    </xf>
    <xf numFmtId="0" fontId="0" fillId="0" borderId="0" applyAlignment="1" pivotButton="0" quotePrefix="0" xfId="0">
      <alignment horizontal="right" vertical="center"/>
    </xf>
    <xf numFmtId="0" fontId="0" fillId="3" borderId="0" pivotButton="0" quotePrefix="0" xfId="0"/>
    <xf numFmtId="164" fontId="0" fillId="3" borderId="0" pivotButton="0" quotePrefix="0" xfId="0"/>
    <xf numFmtId="2" fontId="0" fillId="3"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6"/>
  <sheetViews>
    <sheetView tabSelected="1" workbookViewId="0">
      <selection activeCell="A1" sqref="A1"/>
    </sheetView>
  </sheetViews>
  <sheetFormatPr baseColWidth="10" defaultColWidth="8.83203125" defaultRowHeight="15"/>
  <cols>
    <col width="12.5" customWidth="1" min="1" max="1"/>
    <col width="10.6640625" bestFit="1" customWidth="1" min="2" max="2"/>
  </cols>
  <sheetData>
    <row r="1">
      <c r="A1" t="inlineStr">
        <is>
          <t>Purpose:</t>
        </is>
      </c>
      <c r="B1" t="inlineStr">
        <is>
          <t>This file contains index values by year and country used to uprate the monetary values in the donor population to each simulated year.  Note that values at extremes of each series reflect geometric extrapolation using averages over the sample period.</t>
        </is>
      </c>
    </row>
    <row r="2">
      <c r="A2" t="inlineStr">
        <is>
          <t>Developers:</t>
        </is>
      </c>
      <c r="B2" t="inlineStr">
        <is>
          <t>Justin van de Ven (JV)</t>
        </is>
      </c>
    </row>
    <row r="3">
      <c r="A3" t="inlineStr">
        <is>
          <t>First version:</t>
        </is>
      </c>
      <c r="B3" t="inlineStr">
        <is>
          <t>30/05/2023 (JV)</t>
        </is>
      </c>
    </row>
    <row r="4">
      <c r="A4" t="inlineStr">
        <is>
          <t>Last version:</t>
        </is>
      </c>
      <c r="B4" t="inlineStr">
        <is>
          <t>30/05/2023 (JV)</t>
        </is>
      </c>
    </row>
    <row r="6">
      <c r="A6" t="inlineStr">
        <is>
          <t>NOTE:</t>
        </is>
      </c>
      <c r="B6" t="inlineStr">
        <is>
          <t>All forumlae should be removed from any sheet accessed by the model.</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116"/>
  <sheetViews>
    <sheetView topLeftCell="A79" workbookViewId="0">
      <selection activeCell="B116" sqref="B116"/>
    </sheetView>
  </sheetViews>
  <sheetFormatPr baseColWidth="10" defaultColWidth="8.83203125" defaultRowHeight="15"/>
  <sheetData>
    <row r="1">
      <c r="A1" t="inlineStr">
        <is>
          <t>Year</t>
        </is>
      </c>
      <c r="B1" t="inlineStr">
        <is>
          <t>Value</t>
        </is>
      </c>
    </row>
    <row r="2">
      <c r="A2" t="n">
        <v>1947</v>
      </c>
      <c r="B2" s="1" t="n">
        <v>16.59830927106083</v>
      </c>
    </row>
    <row r="3">
      <c r="A3" s="2" t="n">
        <v>1948</v>
      </c>
      <c r="B3" t="n">
        <v>17</v>
      </c>
    </row>
    <row r="4">
      <c r="A4" s="2" t="n">
        <v>1949</v>
      </c>
      <c r="B4" t="n">
        <v>17.6</v>
      </c>
    </row>
    <row r="5">
      <c r="A5" s="2" t="n">
        <v>1950</v>
      </c>
      <c r="B5" t="n">
        <v>18.2</v>
      </c>
    </row>
    <row r="6">
      <c r="A6" s="2" t="n">
        <v>1951</v>
      </c>
      <c r="B6" t="n">
        <v>18.9</v>
      </c>
    </row>
    <row r="7">
      <c r="A7" s="2" t="n">
        <v>1952</v>
      </c>
      <c r="B7" t="n">
        <v>19.1</v>
      </c>
    </row>
    <row r="8">
      <c r="A8" s="2" t="n">
        <v>1953</v>
      </c>
      <c r="B8" t="n">
        <v>20.2</v>
      </c>
    </row>
    <row r="9">
      <c r="A9" s="2" t="n">
        <v>1954</v>
      </c>
      <c r="B9" t="n">
        <v>21.1</v>
      </c>
    </row>
    <row r="10">
      <c r="A10" s="2" t="n">
        <v>1955</v>
      </c>
      <c r="B10" t="n">
        <v>21.9</v>
      </c>
    </row>
    <row r="11">
      <c r="A11" s="2" t="n">
        <v>1956</v>
      </c>
      <c r="B11" t="n">
        <v>22.3</v>
      </c>
    </row>
    <row r="12">
      <c r="A12" s="2" t="n">
        <v>1957</v>
      </c>
      <c r="B12" t="n">
        <v>22.7</v>
      </c>
    </row>
    <row r="13">
      <c r="A13" s="2" t="n">
        <v>1958</v>
      </c>
      <c r="B13" t="n">
        <v>23</v>
      </c>
    </row>
    <row r="14">
      <c r="A14" s="2" t="n">
        <v>1959</v>
      </c>
      <c r="B14" t="n">
        <v>24</v>
      </c>
    </row>
    <row r="15">
      <c r="A15" s="2" t="n">
        <v>1960</v>
      </c>
      <c r="B15" t="n">
        <v>25.5</v>
      </c>
    </row>
    <row r="16">
      <c r="A16" s="2" t="n">
        <v>1961</v>
      </c>
      <c r="B16" t="n">
        <v>26.2</v>
      </c>
    </row>
    <row r="17">
      <c r="A17" s="2" t="n">
        <v>1962</v>
      </c>
      <c r="B17" t="n">
        <v>26.5</v>
      </c>
    </row>
    <row r="18">
      <c r="A18" s="2" t="n">
        <v>1963</v>
      </c>
      <c r="B18" t="n">
        <v>27.8</v>
      </c>
    </row>
    <row r="19">
      <c r="A19" s="2" t="n">
        <v>1964</v>
      </c>
      <c r="B19" t="n">
        <v>29.4</v>
      </c>
    </row>
    <row r="20">
      <c r="A20" s="2" t="n">
        <v>1965</v>
      </c>
      <c r="B20" t="n">
        <v>30</v>
      </c>
    </row>
    <row r="21">
      <c r="A21" s="2" t="n">
        <v>1966</v>
      </c>
      <c r="B21" t="n">
        <v>30.5</v>
      </c>
    </row>
    <row r="22">
      <c r="A22" s="2" t="n">
        <v>1967</v>
      </c>
      <c r="B22" t="n">
        <v>31.3</v>
      </c>
    </row>
    <row r="23">
      <c r="A23" s="2" t="n">
        <v>1968</v>
      </c>
      <c r="B23" t="n">
        <v>33</v>
      </c>
    </row>
    <row r="24">
      <c r="A24" s="2" t="n">
        <v>1969</v>
      </c>
      <c r="B24" t="n">
        <v>33.6</v>
      </c>
    </row>
    <row r="25">
      <c r="A25" s="2" t="n">
        <v>1970</v>
      </c>
      <c r="B25" t="n">
        <v>34.5</v>
      </c>
    </row>
    <row r="26">
      <c r="A26" s="2" t="n">
        <v>1971</v>
      </c>
      <c r="B26" t="n">
        <v>35.8</v>
      </c>
    </row>
    <row r="27">
      <c r="A27" s="2" t="n">
        <v>1972</v>
      </c>
      <c r="B27" t="n">
        <v>37.3</v>
      </c>
    </row>
    <row r="28">
      <c r="A28" s="2" t="n">
        <v>1973</v>
      </c>
      <c r="B28" t="n">
        <v>39.8</v>
      </c>
    </row>
    <row r="29">
      <c r="A29" s="2" t="n">
        <v>1974</v>
      </c>
      <c r="B29" t="n">
        <v>38.8</v>
      </c>
    </row>
    <row r="30">
      <c r="A30" s="2" t="n">
        <v>1975</v>
      </c>
      <c r="B30" t="n">
        <v>38.2</v>
      </c>
    </row>
    <row r="31">
      <c r="A31" s="2" t="n">
        <v>1976</v>
      </c>
      <c r="B31" t="n">
        <v>39.3</v>
      </c>
    </row>
    <row r="32">
      <c r="A32" s="2" t="n">
        <v>1977</v>
      </c>
      <c r="B32" t="n">
        <v>40.3</v>
      </c>
    </row>
    <row r="33">
      <c r="A33" s="2" t="n">
        <v>1978</v>
      </c>
      <c r="B33" t="n">
        <v>42</v>
      </c>
    </row>
    <row r="34">
      <c r="A34" s="2" t="n">
        <v>1979</v>
      </c>
      <c r="B34" t="n">
        <v>43.5</v>
      </c>
    </row>
    <row r="35">
      <c r="A35" s="2" t="n">
        <v>1980</v>
      </c>
      <c r="B35" t="n">
        <v>42.6</v>
      </c>
    </row>
    <row r="36">
      <c r="A36" s="2" t="n">
        <v>1981</v>
      </c>
      <c r="B36" t="n">
        <v>42.3</v>
      </c>
    </row>
    <row r="37">
      <c r="A37" s="2" t="n">
        <v>1982</v>
      </c>
      <c r="B37" t="n">
        <v>43.2</v>
      </c>
    </row>
    <row r="38">
      <c r="A38" s="2" t="n">
        <v>1983</v>
      </c>
      <c r="B38" t="n">
        <v>45</v>
      </c>
    </row>
    <row r="39">
      <c r="A39" s="2" t="n">
        <v>1984</v>
      </c>
      <c r="B39" t="n">
        <v>46</v>
      </c>
    </row>
    <row r="40">
      <c r="A40" s="2" t="n">
        <v>1985</v>
      </c>
      <c r="B40" t="n">
        <v>47.9</v>
      </c>
    </row>
    <row r="41">
      <c r="A41" s="2" t="n">
        <v>1986</v>
      </c>
      <c r="B41" t="n">
        <v>49.4</v>
      </c>
    </row>
    <row r="42">
      <c r="A42" s="2" t="n">
        <v>1987</v>
      </c>
      <c r="B42" t="n">
        <v>52.1</v>
      </c>
    </row>
    <row r="43">
      <c r="A43" s="2" t="n">
        <v>1988</v>
      </c>
      <c r="B43" t="n">
        <v>55</v>
      </c>
    </row>
    <row r="44">
      <c r="A44" s="2" t="n">
        <v>1989</v>
      </c>
      <c r="B44" t="n">
        <v>56.3</v>
      </c>
    </row>
    <row r="45">
      <c r="A45" s="2" t="n">
        <v>1990</v>
      </c>
      <c r="B45" t="n">
        <v>56.7</v>
      </c>
    </row>
    <row r="46">
      <c r="A46" s="2" t="n">
        <v>1991</v>
      </c>
      <c r="B46" t="n">
        <v>56</v>
      </c>
    </row>
    <row r="47">
      <c r="A47" s="2" t="n">
        <v>1992</v>
      </c>
      <c r="B47" t="n">
        <v>56.2</v>
      </c>
    </row>
    <row r="48">
      <c r="A48" s="2" t="n">
        <v>1993</v>
      </c>
      <c r="B48" t="n">
        <v>57.5</v>
      </c>
    </row>
    <row r="49">
      <c r="A49" s="2" t="n">
        <v>1994</v>
      </c>
      <c r="B49" t="n">
        <v>59.7</v>
      </c>
    </row>
    <row r="50">
      <c r="A50" s="2" t="n">
        <v>1995</v>
      </c>
      <c r="B50" t="n">
        <v>61.2</v>
      </c>
    </row>
    <row r="51">
      <c r="A51" s="2" t="n">
        <v>1996</v>
      </c>
      <c r="B51" t="n">
        <v>62.6</v>
      </c>
    </row>
    <row r="52">
      <c r="A52" s="2" t="n">
        <v>1997</v>
      </c>
      <c r="B52" t="n">
        <v>65.7</v>
      </c>
    </row>
    <row r="53">
      <c r="A53" s="2" t="n">
        <v>1998</v>
      </c>
      <c r="B53" t="n">
        <v>67.8</v>
      </c>
    </row>
    <row r="54">
      <c r="A54" s="2" t="n">
        <v>1999</v>
      </c>
      <c r="B54" t="n">
        <v>69.8</v>
      </c>
    </row>
    <row r="55">
      <c r="A55" s="2" t="n">
        <v>2000</v>
      </c>
      <c r="B55" t="n">
        <v>72.40000000000001</v>
      </c>
    </row>
    <row r="56">
      <c r="A56" s="2" t="n">
        <v>2001</v>
      </c>
      <c r="B56" t="n">
        <v>73.90000000000001</v>
      </c>
    </row>
    <row r="57">
      <c r="A57" s="2" t="n">
        <v>2002</v>
      </c>
      <c r="B57" t="n">
        <v>75.5</v>
      </c>
    </row>
    <row r="58">
      <c r="A58" s="2" t="n">
        <v>2003</v>
      </c>
      <c r="B58" t="n">
        <v>77.7</v>
      </c>
    </row>
    <row r="59">
      <c r="A59" s="2" t="n">
        <v>2004</v>
      </c>
      <c r="B59" t="n">
        <v>79.59999999999999</v>
      </c>
    </row>
    <row r="60">
      <c r="A60" s="2" t="n">
        <v>2005</v>
      </c>
      <c r="B60" t="n">
        <v>81.59999999999999</v>
      </c>
    </row>
    <row r="61">
      <c r="A61" s="2" t="n">
        <v>2006</v>
      </c>
      <c r="B61" t="n">
        <v>83.7</v>
      </c>
    </row>
    <row r="62">
      <c r="A62" s="2" t="n">
        <v>2007</v>
      </c>
      <c r="B62" t="n">
        <v>85.7</v>
      </c>
    </row>
    <row r="63">
      <c r="A63" s="2" t="n">
        <v>2008</v>
      </c>
      <c r="B63" t="n">
        <v>85.40000000000001</v>
      </c>
    </row>
    <row r="64">
      <c r="A64" s="2" t="n">
        <v>2009</v>
      </c>
      <c r="B64" t="n">
        <v>81.8</v>
      </c>
    </row>
    <row r="65">
      <c r="A65" s="2" t="n">
        <v>2010</v>
      </c>
      <c r="B65" t="n">
        <v>83.59999999999999</v>
      </c>
    </row>
    <row r="66">
      <c r="A66" s="2" t="n">
        <v>2011</v>
      </c>
      <c r="B66" t="n">
        <v>84.8</v>
      </c>
    </row>
    <row r="67">
      <c r="A67" s="2" t="n">
        <v>2012</v>
      </c>
      <c r="B67" t="n">
        <v>86</v>
      </c>
    </row>
    <row r="68">
      <c r="A68" s="2" t="n">
        <v>2013</v>
      </c>
      <c r="B68" t="n">
        <v>87.59999999999999</v>
      </c>
    </row>
    <row r="69">
      <c r="A69" s="2" t="n">
        <v>2014</v>
      </c>
      <c r="B69" t="n">
        <v>90.3</v>
      </c>
    </row>
    <row r="70">
      <c r="A70" s="2" t="n">
        <v>2015</v>
      </c>
      <c r="B70" t="n">
        <v>92.59999999999999</v>
      </c>
    </row>
    <row r="71">
      <c r="A71" s="2" t="n">
        <v>2016</v>
      </c>
      <c r="B71" t="n">
        <v>94.7</v>
      </c>
    </row>
    <row r="72">
      <c r="A72" s="2" t="n">
        <v>2017</v>
      </c>
      <c r="B72" t="n">
        <v>96.8</v>
      </c>
    </row>
    <row r="73">
      <c r="A73" s="2" t="n">
        <v>2018</v>
      </c>
      <c r="B73" t="n">
        <v>98.40000000000001</v>
      </c>
    </row>
    <row r="74">
      <c r="A74" s="2" t="n">
        <v>2019</v>
      </c>
      <c r="B74" t="n">
        <v>100</v>
      </c>
    </row>
    <row r="75">
      <c r="A75" s="2" t="n">
        <v>2020</v>
      </c>
      <c r="B75" t="n">
        <v>90.59999999999999</v>
      </c>
    </row>
    <row r="76">
      <c r="A76" s="2" t="n">
        <v>2021</v>
      </c>
      <c r="B76" t="n">
        <v>97.40000000000001</v>
      </c>
    </row>
    <row r="77">
      <c r="A77" s="2" t="n">
        <v>2022</v>
      </c>
      <c r="B77" t="n">
        <v>99.75714833117907</v>
      </c>
    </row>
    <row r="78">
      <c r="A78" s="2" t="n">
        <v>2023</v>
      </c>
      <c r="B78" t="n">
        <v>102.1713413056351</v>
      </c>
    </row>
    <row r="79">
      <c r="A79" s="2" t="n">
        <v>2024</v>
      </c>
      <c r="B79" t="n">
        <v>104.6439594437553</v>
      </c>
    </row>
    <row r="80">
      <c r="A80" s="2" t="n">
        <v>2025</v>
      </c>
      <c r="B80" t="n">
        <v>107.1764166754886</v>
      </c>
    </row>
    <row r="81">
      <c r="A81" s="2" t="n">
        <v>2026</v>
      </c>
      <c r="B81" t="n">
        <v>109.7701611488806</v>
      </c>
    </row>
    <row r="82">
      <c r="A82" s="2" t="n">
        <v>2027</v>
      </c>
      <c r="B82" t="n">
        <v>112.4266760581756</v>
      </c>
    </row>
    <row r="83">
      <c r="A83" s="2" t="n">
        <v>2028</v>
      </c>
      <c r="B83" t="n">
        <v>115.1474804919594</v>
      </c>
    </row>
    <row r="84">
      <c r="A84" s="2" t="n">
        <v>2029</v>
      </c>
      <c r="B84" t="n">
        <v>117.9341303018269</v>
      </c>
    </row>
    <row r="85">
      <c r="A85" s="2" t="n">
        <v>2030</v>
      </c>
      <c r="B85" t="n">
        <v>120.7882189920733</v>
      </c>
    </row>
    <row r="86">
      <c r="A86" s="2" t="n">
        <v>2031</v>
      </c>
      <c r="B86" t="n">
        <v>123.7113786309158</v>
      </c>
    </row>
    <row r="87">
      <c r="A87" s="2" t="n">
        <v>2032</v>
      </c>
      <c r="B87" t="n">
        <v>126.7052807837672</v>
      </c>
    </row>
    <row r="88">
      <c r="A88" s="2" t="n">
        <v>2033</v>
      </c>
      <c r="B88" t="n">
        <v>129.771637469096</v>
      </c>
    </row>
    <row r="89">
      <c r="A89" s="2" t="n">
        <v>2034</v>
      </c>
      <c r="B89" t="n">
        <v>132.912202137419</v>
      </c>
    </row>
    <row r="90">
      <c r="A90" s="2" t="n">
        <v>2035</v>
      </c>
      <c r="B90" t="n">
        <v>136.1287706739853</v>
      </c>
    </row>
    <row r="91">
      <c r="A91" s="2" t="n">
        <v>2036</v>
      </c>
      <c r="B91" t="n">
        <v>139.423182425727</v>
      </c>
    </row>
    <row r="92">
      <c r="A92" s="2" t="n">
        <v>2037</v>
      </c>
      <c r="B92" t="n">
        <v>142.7973212530625</v>
      </c>
    </row>
    <row r="93">
      <c r="A93" s="2" t="n">
        <v>2038</v>
      </c>
      <c r="B93" t="n">
        <v>146.2531166071539</v>
      </c>
    </row>
    <row r="94">
      <c r="A94" s="2" t="n">
        <v>2039</v>
      </c>
      <c r="B94" t="n">
        <v>149.7925446332349</v>
      </c>
    </row>
    <row r="95">
      <c r="A95" s="2" t="n">
        <v>2040</v>
      </c>
      <c r="B95" t="n">
        <v>153.4176293006404</v>
      </c>
    </row>
    <row r="96">
      <c r="A96" s="2" t="n">
        <v>2041</v>
      </c>
      <c r="B96" t="n">
        <v>157.130443560183</v>
      </c>
    </row>
    <row r="97">
      <c r="A97" s="2" t="n">
        <v>2042</v>
      </c>
      <c r="B97" t="n">
        <v>160.9331105295394</v>
      </c>
    </row>
    <row r="98">
      <c r="A98" s="2" t="n">
        <v>2043</v>
      </c>
      <c r="B98" t="n">
        <v>164.8278047073234</v>
      </c>
    </row>
    <row r="99">
      <c r="A99" s="2" t="n">
        <v>2044</v>
      </c>
      <c r="B99" t="n">
        <v>168.8167532165408</v>
      </c>
    </row>
    <row r="100">
      <c r="A100" s="2" t="n">
        <v>2045</v>
      </c>
      <c r="B100" t="n">
        <v>172.9022370781366</v>
      </c>
    </row>
    <row r="101">
      <c r="A101" s="2" t="n">
        <v>2046</v>
      </c>
      <c r="B101" t="n">
        <v>177.0865925153631</v>
      </c>
    </row>
    <row r="102">
      <c r="A102" s="2" t="n">
        <v>2047</v>
      </c>
      <c r="B102" t="n">
        <v>181.372212289714</v>
      </c>
    </row>
    <row r="103">
      <c r="A103" s="2" t="n">
        <v>2048</v>
      </c>
      <c r="B103" t="n">
        <v>185.7615470691899</v>
      </c>
    </row>
    <row r="104">
      <c r="A104" s="2" t="n">
        <v>2049</v>
      </c>
      <c r="B104" t="n">
        <v>190.2571068296764</v>
      </c>
    </row>
    <row r="105">
      <c r="A105" s="2" t="n">
        <v>2050</v>
      </c>
      <c r="B105" t="n">
        <v>194.8614622902363</v>
      </c>
    </row>
    <row r="106">
      <c r="A106" s="2" t="n">
        <v>2051</v>
      </c>
      <c r="B106" t="n">
        <v>199.5772463831371</v>
      </c>
    </row>
    <row r="107">
      <c r="A107" s="2" t="n">
        <v>2052</v>
      </c>
      <c r="B107" t="n">
        <v>204.4071557594546</v>
      </c>
    </row>
    <row r="108">
      <c r="A108" s="2" t="n">
        <v>2053</v>
      </c>
      <c r="B108" t="n">
        <v>209.3539523311123</v>
      </c>
    </row>
    <row r="109">
      <c r="A109" s="2" t="n">
        <v>2054</v>
      </c>
      <c r="B109" t="n">
        <v>214.4204648502398</v>
      </c>
    </row>
    <row r="110">
      <c r="A110" s="2" t="n">
        <v>2055</v>
      </c>
      <c r="B110" t="n">
        <v>219.609590526753</v>
      </c>
    </row>
    <row r="111">
      <c r="A111" s="2" t="n">
        <v>2056</v>
      </c>
      <c r="B111" t="n">
        <v>224.92429668508</v>
      </c>
    </row>
    <row r="112">
      <c r="A112" s="2" t="n">
        <v>2057</v>
      </c>
      <c r="B112" t="n">
        <v>230.3676224609821</v>
      </c>
    </row>
    <row r="113">
      <c r="A113" s="2" t="n">
        <v>2058</v>
      </c>
      <c r="B113" t="n">
        <v>235.9426805394379</v>
      </c>
    </row>
    <row r="114">
      <c r="A114" s="2" t="n">
        <v>2059</v>
      </c>
      <c r="B114" t="n">
        <v>241.6526589345863</v>
      </c>
    </row>
    <row r="115">
      <c r="A115" s="2" t="n">
        <v>2060</v>
      </c>
      <c r="B115" t="n">
        <v>247.5008228127449</v>
      </c>
    </row>
    <row r="116">
      <c r="A116" s="2" t="n">
        <v>2061</v>
      </c>
      <c r="B116" t="n">
        <v>253.4905163595468</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42"/>
  <sheetViews>
    <sheetView topLeftCell="A5" workbookViewId="0">
      <selection activeCell="B42" sqref="B42"/>
    </sheetView>
  </sheetViews>
  <sheetFormatPr baseColWidth="10" defaultColWidth="8.83203125" defaultRowHeight="15"/>
  <sheetData>
    <row r="1">
      <c r="A1" t="inlineStr">
        <is>
          <t>Year</t>
        </is>
      </c>
      <c r="B1" t="inlineStr">
        <is>
          <t>Value</t>
        </is>
      </c>
    </row>
    <row r="2">
      <c r="A2" t="n">
        <v>1987</v>
      </c>
      <c r="B2" s="1" t="n">
        <v>48.34160833287882</v>
      </c>
    </row>
    <row r="3">
      <c r="A3" s="2" t="n">
        <v>1988</v>
      </c>
      <c r="B3" s="1" t="n">
        <v>49.6</v>
      </c>
    </row>
    <row r="4">
      <c r="A4" s="2" t="n">
        <v>1989</v>
      </c>
      <c r="B4" s="1" t="n">
        <v>52.2</v>
      </c>
    </row>
    <row r="5">
      <c r="A5" s="2" t="n">
        <v>1990</v>
      </c>
      <c r="B5" s="1" t="n">
        <v>55.9</v>
      </c>
    </row>
    <row r="6">
      <c r="A6" s="2" t="n">
        <v>1991</v>
      </c>
      <c r="B6" s="1" t="n">
        <v>60.1</v>
      </c>
    </row>
    <row r="7">
      <c r="A7" s="2" t="n">
        <v>1992</v>
      </c>
      <c r="B7" s="1" t="n">
        <v>62.6</v>
      </c>
    </row>
    <row r="8">
      <c r="A8" s="2" t="n">
        <v>1993</v>
      </c>
      <c r="B8" s="1" t="n">
        <v>64.2</v>
      </c>
    </row>
    <row r="9">
      <c r="A9" s="2" t="n">
        <v>1994</v>
      </c>
      <c r="B9" s="1" t="n">
        <v>65.5</v>
      </c>
    </row>
    <row r="10">
      <c r="A10" s="2" t="n">
        <v>1995</v>
      </c>
      <c r="B10" s="1" t="n">
        <v>67.2</v>
      </c>
    </row>
    <row r="11">
      <c r="A11" s="2" t="n">
        <v>1996</v>
      </c>
      <c r="B11" s="1" t="n">
        <v>68.8</v>
      </c>
    </row>
    <row r="12">
      <c r="A12" s="2" t="n">
        <v>1997</v>
      </c>
      <c r="B12" s="1" t="n">
        <v>70.09999999999999</v>
      </c>
    </row>
    <row r="13">
      <c r="A13" s="2" t="n">
        <v>1998</v>
      </c>
      <c r="B13" s="1" t="n">
        <v>71.2</v>
      </c>
    </row>
    <row r="14">
      <c r="A14" s="2" t="n">
        <v>1999</v>
      </c>
      <c r="B14" s="1" t="n">
        <v>72.09999999999999</v>
      </c>
    </row>
    <row r="15">
      <c r="A15" s="2" t="n">
        <v>2000</v>
      </c>
      <c r="B15" s="1" t="n">
        <v>72.7</v>
      </c>
    </row>
    <row r="16">
      <c r="A16" s="2" t="n">
        <v>2001</v>
      </c>
      <c r="B16" s="1" t="n">
        <v>73.59999999999999</v>
      </c>
    </row>
    <row r="17">
      <c r="A17" s="2" t="n">
        <v>2002</v>
      </c>
      <c r="B17" s="1" t="n">
        <v>74.5</v>
      </c>
    </row>
    <row r="18">
      <c r="A18" s="2" t="n">
        <v>2003</v>
      </c>
      <c r="B18" s="1" t="n">
        <v>75.5</v>
      </c>
    </row>
    <row r="19">
      <c r="A19" s="2" t="n">
        <v>2004</v>
      </c>
      <c r="B19" s="1" t="n">
        <v>76.5</v>
      </c>
    </row>
    <row r="20">
      <c r="A20" s="2" t="n">
        <v>2005</v>
      </c>
      <c r="B20" s="1" t="n">
        <v>78.09999999999999</v>
      </c>
    </row>
    <row r="21">
      <c r="A21" s="2" t="n">
        <v>2006</v>
      </c>
      <c r="B21" s="1" t="n">
        <v>79.90000000000001</v>
      </c>
    </row>
    <row r="22">
      <c r="A22" s="2" t="n">
        <v>2007</v>
      </c>
      <c r="B22" s="1" t="n">
        <v>81.8</v>
      </c>
    </row>
    <row r="23">
      <c r="A23" s="2" t="n">
        <v>2008</v>
      </c>
      <c r="B23" s="1" t="n">
        <v>84.7</v>
      </c>
    </row>
    <row r="24">
      <c r="A24" s="2" t="n">
        <v>2009</v>
      </c>
      <c r="B24" s="1" t="n">
        <v>86.59999999999999</v>
      </c>
    </row>
    <row r="25">
      <c r="A25" s="2" t="n">
        <v>2010</v>
      </c>
      <c r="B25" s="1" t="n">
        <v>89.40000000000001</v>
      </c>
    </row>
    <row r="26">
      <c r="A26" s="2" t="n">
        <v>2011</v>
      </c>
      <c r="B26" s="1" t="n">
        <v>93.40000000000001</v>
      </c>
    </row>
    <row r="27">
      <c r="A27" s="2" t="n">
        <v>2012</v>
      </c>
      <c r="B27" s="1" t="n">
        <v>96.09999999999999</v>
      </c>
    </row>
    <row r="28">
      <c r="A28" s="2" t="n">
        <v>2013</v>
      </c>
      <c r="B28" s="1" t="n">
        <v>98.5</v>
      </c>
    </row>
    <row r="29">
      <c r="A29" s="2" t="n">
        <v>2014</v>
      </c>
      <c r="B29" s="1" t="n">
        <v>100</v>
      </c>
    </row>
    <row r="30">
      <c r="A30" s="2" t="n">
        <v>2015</v>
      </c>
      <c r="B30" s="1" t="n">
        <v>100</v>
      </c>
    </row>
    <row r="31">
      <c r="A31" s="2" t="n">
        <v>2016</v>
      </c>
      <c r="B31" s="1" t="n">
        <v>100.7</v>
      </c>
    </row>
    <row r="32">
      <c r="A32" s="2" t="n">
        <v>2017</v>
      </c>
      <c r="B32" s="1" t="n">
        <v>103.4</v>
      </c>
    </row>
    <row r="33">
      <c r="A33" s="2" t="n">
        <v>2018</v>
      </c>
      <c r="B33" s="1" t="n">
        <v>105.9</v>
      </c>
    </row>
    <row r="34">
      <c r="A34" s="2" t="n">
        <v>2019</v>
      </c>
      <c r="B34" s="1" t="n">
        <v>107.8</v>
      </c>
    </row>
    <row r="35">
      <c r="A35" s="2" t="n">
        <v>2020</v>
      </c>
      <c r="B35" s="1" t="n">
        <v>108.7</v>
      </c>
    </row>
    <row r="36">
      <c r="A36" s="2" t="n">
        <v>2021</v>
      </c>
      <c r="B36" s="1" t="n">
        <v>111.6</v>
      </c>
    </row>
    <row r="37">
      <c r="A37" s="2" t="n">
        <v>2022</v>
      </c>
      <c r="B37" s="1" t="n">
        <v>121.7</v>
      </c>
    </row>
    <row r="38">
      <c r="A38" s="2" t="n">
        <v>2023</v>
      </c>
      <c r="B38" s="1" t="n">
        <v>124.573958743159</v>
      </c>
    </row>
    <row r="39">
      <c r="A39" s="2" t="n">
        <v>2024</v>
      </c>
      <c r="B39" s="1" t="n">
        <v>126.6306424178466</v>
      </c>
    </row>
    <row r="40">
      <c r="A40" s="2" t="n">
        <v>2025</v>
      </c>
      <c r="B40" s="1" t="n">
        <v>129.1170478653021</v>
      </c>
    </row>
    <row r="41">
      <c r="A41" s="2" t="n">
        <v>2026</v>
      </c>
      <c r="B41" s="1" t="n">
        <v>131.6993888226082</v>
      </c>
    </row>
    <row r="42">
      <c r="A42" s="2" t="n">
        <v>2027</v>
      </c>
      <c r="B42" s="1" t="n">
        <v>135.1276862908702</v>
      </c>
    </row>
  </sheetData>
  <pageMargins left="0.7" right="0.7" top="0.75" bottom="0.75" header="0.3" footer="0.3"/>
  <pageSetup orientation="portrait" paperSize="9" horizontalDpi="4294967293" verticalDpi="0"/>
</worksheet>
</file>

<file path=xl/worksheets/sheet4.xml><?xml version="1.0" encoding="utf-8"?>
<worksheet xmlns="http://schemas.openxmlformats.org/spreadsheetml/2006/main">
  <sheetPr>
    <outlinePr summaryBelow="1" summaryRight="1"/>
    <pageSetUpPr/>
  </sheetPr>
  <dimension ref="A1:B30"/>
  <sheetViews>
    <sheetView workbookViewId="0">
      <selection activeCell="B30" sqref="B30"/>
    </sheetView>
  </sheetViews>
  <sheetFormatPr baseColWidth="10" defaultColWidth="8.83203125" defaultRowHeight="15"/>
  <sheetData>
    <row r="1">
      <c r="A1" t="inlineStr">
        <is>
          <t>Year</t>
        </is>
      </c>
      <c r="B1" t="inlineStr">
        <is>
          <t>Value</t>
        </is>
      </c>
    </row>
    <row r="2">
      <c r="A2" t="n">
        <v>2000</v>
      </c>
      <c r="B2" t="n">
        <v>143.295769292532</v>
      </c>
    </row>
    <row r="3">
      <c r="A3" s="2" t="n">
        <v>2001</v>
      </c>
      <c r="B3" t="n">
        <v>143.9822185801631</v>
      </c>
    </row>
    <row r="4">
      <c r="A4" s="2" t="n">
        <v>2002</v>
      </c>
      <c r="B4" t="n">
        <v>146.6655734675616</v>
      </c>
    </row>
    <row r="5">
      <c r="A5" s="2" t="n">
        <v>2003</v>
      </c>
      <c r="B5" t="n">
        <v>149.6379497240618</v>
      </c>
    </row>
    <row r="6">
      <c r="A6" s="2" t="n">
        <v>2004</v>
      </c>
      <c r="B6" t="n">
        <v>154.5831087037037</v>
      </c>
    </row>
    <row r="7">
      <c r="A7" s="2" t="n">
        <v>2005</v>
      </c>
      <c r="B7" t="n">
        <v>158.4672492851046</v>
      </c>
    </row>
    <row r="8">
      <c r="A8" s="2" t="n">
        <v>2006</v>
      </c>
      <c r="B8" t="n">
        <v>162.5947367647059</v>
      </c>
    </row>
    <row r="9">
      <c r="A9" s="2" t="n">
        <v>2007</v>
      </c>
      <c r="B9" t="n">
        <v>165.9510526894865</v>
      </c>
    </row>
    <row r="10">
      <c r="A10" s="2" t="n">
        <v>2008</v>
      </c>
      <c r="B10" t="n">
        <v>162.8731431621409</v>
      </c>
    </row>
    <row r="11">
      <c r="A11" s="2" t="n">
        <v>2009</v>
      </c>
      <c r="B11" t="n">
        <v>161.3764317070824</v>
      </c>
    </row>
    <row r="12">
      <c r="A12" s="2" t="n">
        <v>2010</v>
      </c>
      <c r="B12" t="n">
        <v>159.651283743475</v>
      </c>
    </row>
    <row r="13">
      <c r="A13" s="2" t="n">
        <v>2011</v>
      </c>
      <c r="B13" t="n">
        <v>155.5612600731621</v>
      </c>
    </row>
    <row r="14">
      <c r="A14" s="2" t="n">
        <v>2012</v>
      </c>
      <c r="B14" t="n">
        <v>153.1791733350676</v>
      </c>
    </row>
    <row r="15">
      <c r="A15" s="2" t="n">
        <v>2013</v>
      </c>
      <c r="B15" t="n">
        <v>151.4386493654822</v>
      </c>
    </row>
    <row r="16">
      <c r="A16" s="2" t="n">
        <v>2014</v>
      </c>
      <c r="B16" t="n">
        <v>151.0381047083333</v>
      </c>
    </row>
    <row r="17">
      <c r="A17" s="2" t="n">
        <v>2015</v>
      </c>
      <c r="B17" t="n">
        <v>154.6386619583333</v>
      </c>
    </row>
    <row r="18">
      <c r="A18" s="2" t="n">
        <v>2016</v>
      </c>
      <c r="B18" t="n">
        <v>157.1997433465739</v>
      </c>
    </row>
    <row r="19">
      <c r="A19" s="2" t="n">
        <v>2017</v>
      </c>
      <c r="B19" t="n">
        <v>156.9308590103159</v>
      </c>
    </row>
    <row r="20">
      <c r="A20" s="2" t="n">
        <v>2018</v>
      </c>
      <c r="B20" t="n">
        <v>157.8581899905571</v>
      </c>
    </row>
    <row r="21">
      <c r="A21" s="2" t="n">
        <v>2019</v>
      </c>
      <c r="B21" t="n">
        <v>160.0314275974026</v>
      </c>
    </row>
    <row r="22">
      <c r="A22" s="2" t="n">
        <v>2020</v>
      </c>
      <c r="B22" t="n">
        <v>162.1216396604529</v>
      </c>
    </row>
    <row r="23">
      <c r="A23" s="2" t="n">
        <v>2021</v>
      </c>
      <c r="B23" t="n">
        <v>168.4520645356823</v>
      </c>
    </row>
    <row r="24">
      <c r="A24" s="2" t="n">
        <v>2022</v>
      </c>
      <c r="B24" t="n">
        <v>162.2075997994349</v>
      </c>
    </row>
    <row r="25">
      <c r="A25" s="2" t="n">
        <v>2023</v>
      </c>
      <c r="B25" t="n">
        <v>164.7960232650406</v>
      </c>
    </row>
    <row r="26">
      <c r="A26" s="2" t="n">
        <v>2024</v>
      </c>
      <c r="B26" t="n">
        <v>163.9427721260278</v>
      </c>
    </row>
    <row r="27">
      <c r="A27" s="2" t="n">
        <v>2025</v>
      </c>
      <c r="B27" t="n">
        <v>163.1835047064832</v>
      </c>
    </row>
    <row r="28">
      <c r="A28" s="2" t="n">
        <v>2026</v>
      </c>
      <c r="B28" t="n">
        <v>163.2185698475248</v>
      </c>
    </row>
    <row r="29">
      <c r="A29" s="2" t="n">
        <v>2027</v>
      </c>
      <c r="B29" t="n">
        <v>163.0315566722214</v>
      </c>
    </row>
    <row r="30">
      <c r="A30" s="2" t="n">
        <v>2028</v>
      </c>
      <c r="B30" t="n">
        <v>163.8125489966394</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10" defaultColWidth="8.83203125" defaultRowHeight="15"/>
  <sheetData>
    <row r="1">
      <c r="A1" t="inlineStr">
        <is>
          <t>Year</t>
        </is>
      </c>
      <c r="B1" t="inlineStr">
        <is>
          <t>Value</t>
        </is>
      </c>
    </row>
    <row r="2">
      <c r="A2" t="n">
        <v>1986</v>
      </c>
      <c r="B2" s="3" t="n">
        <v>0.04628640516022733</v>
      </c>
    </row>
    <row r="3">
      <c r="A3" t="n">
        <v>1987</v>
      </c>
      <c r="B3" s="3" t="n">
        <v>0.03011788658083403</v>
      </c>
    </row>
    <row r="4">
      <c r="A4" t="n">
        <v>1988</v>
      </c>
      <c r="B4" s="3" t="n">
        <v>0.1285681252897397</v>
      </c>
    </row>
    <row r="5">
      <c r="A5" t="n">
        <v>1989</v>
      </c>
      <c r="B5" s="3" t="n">
        <v>0.1360052939432905</v>
      </c>
    </row>
    <row r="6">
      <c r="A6" t="n">
        <v>1990</v>
      </c>
      <c r="B6" s="3" t="n">
        <v>-0.04107049754509096</v>
      </c>
    </row>
    <row r="7">
      <c r="A7" t="n">
        <v>1991</v>
      </c>
      <c r="B7" s="3" t="n">
        <v>0.05735054402468687</v>
      </c>
    </row>
    <row r="8">
      <c r="A8" t="n">
        <v>1992</v>
      </c>
      <c r="B8" s="3" t="n">
        <v>0.05763120223656326</v>
      </c>
    </row>
    <row r="9">
      <c r="A9" t="n">
        <v>1993</v>
      </c>
      <c r="B9" s="3" t="n">
        <v>0.07898970621677925</v>
      </c>
    </row>
    <row r="10">
      <c r="A10" t="n">
        <v>1994</v>
      </c>
      <c r="B10" s="3" t="n">
        <v>-0.01128760392020467</v>
      </c>
    </row>
    <row r="11">
      <c r="A11" t="n">
        <v>1995</v>
      </c>
      <c r="B11" s="3" t="n">
        <v>0.09216085910537353</v>
      </c>
    </row>
    <row r="12">
      <c r="A12" t="n">
        <v>1996</v>
      </c>
      <c r="B12" s="3" t="n">
        <v>0.08558618097295878</v>
      </c>
    </row>
    <row r="13">
      <c r="A13" t="n">
        <v>1997</v>
      </c>
      <c r="B13" s="3" t="n">
        <v>0.1364610157769823</v>
      </c>
    </row>
    <row r="14">
      <c r="A14" t="n">
        <v>1998</v>
      </c>
      <c r="B14" s="3" t="n">
        <v>0.123756680348778</v>
      </c>
    </row>
    <row r="15">
      <c r="A15" t="n">
        <v>1999</v>
      </c>
      <c r="B15" s="3" t="n">
        <v>0.1445610555756329</v>
      </c>
    </row>
    <row r="16">
      <c r="A16" t="n">
        <v>2000</v>
      </c>
      <c r="B16" s="3" t="n">
        <v>0.01275381367898198</v>
      </c>
    </row>
    <row r="17">
      <c r="A17" t="n">
        <v>2001</v>
      </c>
      <c r="B17" s="3" t="n">
        <v>-0.02165376684982523</v>
      </c>
    </row>
    <row r="18">
      <c r="A18" t="n">
        <v>2002</v>
      </c>
      <c r="B18" s="3" t="n">
        <v>-0.03085993563859513</v>
      </c>
    </row>
    <row r="19">
      <c r="A19" t="n">
        <v>2003</v>
      </c>
      <c r="B19" s="3" t="n">
        <v>0.1302126593875974</v>
      </c>
    </row>
    <row r="20">
      <c r="A20" t="n">
        <v>2004</v>
      </c>
      <c r="B20" s="3" t="n">
        <v>0.112846287139885</v>
      </c>
    </row>
    <row r="21">
      <c r="A21" t="n">
        <v>2005</v>
      </c>
      <c r="B21" s="3" t="n">
        <v>0.09570043511993975</v>
      </c>
    </row>
    <row r="22">
      <c r="A22" t="n">
        <v>2006</v>
      </c>
      <c r="B22" s="3" t="n">
        <v>0.08349710282592482</v>
      </c>
    </row>
    <row r="23">
      <c r="A23" t="n">
        <v>2007</v>
      </c>
      <c r="B23" s="3" t="n">
        <v>0.05403672845064844</v>
      </c>
    </row>
    <row r="24">
      <c r="A24" t="n">
        <v>2008</v>
      </c>
      <c r="B24" s="3" t="n">
        <v>-0.1606626251710986</v>
      </c>
    </row>
    <row r="25">
      <c r="A25" t="n">
        <v>2009</v>
      </c>
      <c r="B25" s="3" t="n">
        <v>0.08877196143526267</v>
      </c>
    </row>
    <row r="26">
      <c r="A26" t="n">
        <v>2010</v>
      </c>
      <c r="B26" s="3" t="n">
        <v>0.05677411066848048</v>
      </c>
    </row>
    <row r="27">
      <c r="A27" t="n">
        <v>2011</v>
      </c>
      <c r="B27" s="3" t="n">
        <v>-0.02739249088068396</v>
      </c>
    </row>
    <row r="28">
      <c r="A28" t="n">
        <v>2012</v>
      </c>
      <c r="B28" s="3" t="n">
        <v>-0.02212451389847381</v>
      </c>
    </row>
    <row r="29">
      <c r="A29" t="n">
        <v>2013</v>
      </c>
      <c r="B29" s="3" t="n">
        <v>0.0753359300214862</v>
      </c>
    </row>
    <row r="30">
      <c r="A30" t="n">
        <v>2014</v>
      </c>
      <c r="B30" s="3" t="n">
        <v>0.07934096688081738</v>
      </c>
    </row>
    <row r="31">
      <c r="A31" t="n">
        <v>2015</v>
      </c>
      <c r="B31" s="3" t="n">
        <v>0.04238107001805869</v>
      </c>
    </row>
    <row r="32">
      <c r="A32" t="n">
        <v>2016</v>
      </c>
      <c r="B32" s="3" t="n">
        <v>-0.04897478408753297</v>
      </c>
    </row>
    <row r="33">
      <c r="A33" t="n">
        <v>2017</v>
      </c>
      <c r="B33" s="3" t="n">
        <v>0.07017087188990567</v>
      </c>
    </row>
    <row r="34">
      <c r="A34" t="n">
        <v>2018</v>
      </c>
      <c r="B34" s="3" t="n">
        <v>0.02840535022977253</v>
      </c>
    </row>
    <row r="35">
      <c r="A35" t="n">
        <v>2019</v>
      </c>
      <c r="B35" s="3" t="n">
        <v>0.00637147302054708</v>
      </c>
    </row>
    <row r="36">
      <c r="A36" t="n">
        <v>2020</v>
      </c>
      <c r="B36" s="3" t="n">
        <v>-0.07304069775960675</v>
      </c>
    </row>
    <row r="37">
      <c r="A37" t="n">
        <v>2021</v>
      </c>
      <c r="B37" s="3" t="n">
        <v>0.04930378552014147</v>
      </c>
    </row>
    <row r="38">
      <c r="A38" t="n">
        <v>2022</v>
      </c>
      <c r="B38" s="3" t="n">
        <v>0.04628640516022733</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30"/>
  <sheetViews>
    <sheetView workbookViewId="0">
      <selection activeCell="B30" sqref="B30"/>
    </sheetView>
  </sheetViews>
  <sheetFormatPr baseColWidth="10" defaultColWidth="8.83203125" defaultRowHeight="15"/>
  <sheetData>
    <row r="1">
      <c r="A1" t="inlineStr">
        <is>
          <t>Year</t>
        </is>
      </c>
      <c r="B1" t="inlineStr">
        <is>
          <t>Value</t>
        </is>
      </c>
    </row>
    <row r="2">
      <c r="A2" t="n">
        <v>1994</v>
      </c>
      <c r="B2" s="3" t="n">
        <v>0.06019843675718954</v>
      </c>
    </row>
    <row r="3">
      <c r="A3" t="n">
        <v>1995</v>
      </c>
      <c r="B3" s="3" t="n">
        <v>0.16845</v>
      </c>
    </row>
    <row r="4">
      <c r="A4" t="n">
        <v>1996</v>
      </c>
      <c r="B4" s="3" t="n">
        <v>0.1402083333333334</v>
      </c>
    </row>
    <row r="5">
      <c r="A5" t="n">
        <v>1997</v>
      </c>
      <c r="B5" s="3" t="n">
        <v>0.1378333333333333</v>
      </c>
    </row>
    <row r="6">
      <c r="A6" t="n">
        <v>1998</v>
      </c>
      <c r="B6" s="3" t="n">
        <v>0.134625</v>
      </c>
    </row>
    <row r="7">
      <c r="A7" t="n">
        <v>1999</v>
      </c>
      <c r="B7" s="3" t="n">
        <v>0.1217666666666667</v>
      </c>
    </row>
    <row r="8">
      <c r="A8" t="n">
        <v>2000</v>
      </c>
      <c r="B8" s="3" t="n">
        <v>0.1173083333333333</v>
      </c>
    </row>
    <row r="9">
      <c r="A9" t="n">
        <v>2001</v>
      </c>
      <c r="B9" s="3" t="n">
        <v>0.1191666666666667</v>
      </c>
    </row>
    <row r="10">
      <c r="A10" t="n">
        <v>2002</v>
      </c>
      <c r="B10" s="3" t="n">
        <v>0.1049916666666666</v>
      </c>
    </row>
    <row r="11">
      <c r="A11" t="n">
        <v>2003</v>
      </c>
      <c r="B11" s="3" t="n">
        <v>0.08460000000000001</v>
      </c>
    </row>
    <row r="12">
      <c r="A12" t="n">
        <v>2004</v>
      </c>
      <c r="B12" s="3" t="n">
        <v>0.08003333333333336</v>
      </c>
    </row>
    <row r="13">
      <c r="A13" t="n">
        <v>2005</v>
      </c>
      <c r="B13" s="3" t="n">
        <v>0.0737</v>
      </c>
    </row>
    <row r="14">
      <c r="A14" t="n">
        <v>2006</v>
      </c>
      <c r="B14" s="3" t="n">
        <v>0.07180833333333335</v>
      </c>
    </row>
    <row r="15">
      <c r="A15" t="n">
        <v>2007</v>
      </c>
      <c r="B15" s="3" t="n">
        <v>0.07628333333333333</v>
      </c>
    </row>
    <row r="16">
      <c r="A16" t="n">
        <v>2008</v>
      </c>
      <c r="B16" s="3" t="n">
        <v>0.09059999999999997</v>
      </c>
    </row>
    <row r="17">
      <c r="A17" t="n">
        <v>2009</v>
      </c>
      <c r="B17" s="3" t="n">
        <v>0.1009083333333333</v>
      </c>
    </row>
    <row r="18">
      <c r="A18" t="n">
        <v>2010</v>
      </c>
      <c r="B18" s="3" t="n">
        <v>0.09259166666666667</v>
      </c>
    </row>
    <row r="19">
      <c r="A19" t="n">
        <v>2011</v>
      </c>
      <c r="B19" s="3" t="n">
        <v>0.08749999999999998</v>
      </c>
    </row>
    <row r="20">
      <c r="A20" t="n">
        <v>2012</v>
      </c>
      <c r="B20" s="3" t="n">
        <v>0.07438333333333333</v>
      </c>
    </row>
    <row r="21">
      <c r="A21" t="n">
        <v>2013</v>
      </c>
      <c r="B21" s="3" t="n">
        <v>0.0603</v>
      </c>
    </row>
    <row r="22">
      <c r="A22" t="n">
        <v>2014</v>
      </c>
      <c r="B22" s="3" t="n">
        <v>0.0498</v>
      </c>
    </row>
    <row r="23">
      <c r="A23" t="n">
        <v>2015</v>
      </c>
      <c r="B23" s="3" t="n">
        <v>0.04331666666666667</v>
      </c>
    </row>
    <row r="24">
      <c r="A24" t="n">
        <v>2016</v>
      </c>
      <c r="B24" s="3" t="n">
        <v>0.03968333333333333</v>
      </c>
    </row>
    <row r="25">
      <c r="A25" t="n">
        <v>2017</v>
      </c>
      <c r="B25" s="3" t="n">
        <v>0.03799166666666667</v>
      </c>
    </row>
    <row r="26">
      <c r="A26" t="n">
        <v>2018</v>
      </c>
      <c r="B26" s="3" t="n">
        <v>0.03769166666666666</v>
      </c>
    </row>
    <row r="27">
      <c r="A27" t="n">
        <v>2019</v>
      </c>
      <c r="B27" s="3" t="n">
        <v>0.03614166666666666</v>
      </c>
    </row>
    <row r="28">
      <c r="A28" t="n">
        <v>2020</v>
      </c>
      <c r="B28" s="3" t="n">
        <v>0.03546666666666667</v>
      </c>
    </row>
    <row r="29">
      <c r="A29" t="n">
        <v>2021</v>
      </c>
      <c r="B29" s="3" t="n">
        <v>0.03826666666666666</v>
      </c>
    </row>
    <row r="30">
      <c r="A30" t="n">
        <v>2022</v>
      </c>
      <c r="B30" s="3" t="n">
        <v>0.06019843675718954</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B30"/>
  <sheetViews>
    <sheetView workbookViewId="0">
      <selection activeCell="B30" sqref="B30"/>
    </sheetView>
  </sheetViews>
  <sheetFormatPr baseColWidth="10" defaultColWidth="8.83203125" defaultRowHeight="15"/>
  <sheetData>
    <row r="1">
      <c r="A1" t="inlineStr">
        <is>
          <t>Year</t>
        </is>
      </c>
      <c r="B1" t="inlineStr">
        <is>
          <t>Value</t>
        </is>
      </c>
    </row>
    <row r="2">
      <c r="A2" t="n">
        <v>1994</v>
      </c>
      <c r="B2" s="3" t="n">
        <v>0.1570422857620064</v>
      </c>
    </row>
    <row r="3">
      <c r="A3" t="n">
        <v>1995</v>
      </c>
      <c r="B3" s="3" t="n">
        <v>0.2275583333333334</v>
      </c>
    </row>
    <row r="4">
      <c r="A4" t="n">
        <v>1996</v>
      </c>
      <c r="B4" s="3" t="n">
        <v>0.2224083333333333</v>
      </c>
    </row>
    <row r="5">
      <c r="A5" t="n">
        <v>1997</v>
      </c>
      <c r="B5" s="3" t="n">
        <v>0.223675</v>
      </c>
    </row>
    <row r="6">
      <c r="A6" t="n">
        <v>1998</v>
      </c>
      <c r="B6" s="3" t="n">
        <v>0.2195166666666667</v>
      </c>
    </row>
    <row r="7">
      <c r="A7" t="n">
        <v>1999</v>
      </c>
      <c r="B7" s="3" t="n">
        <v>0.19585</v>
      </c>
    </row>
    <row r="8">
      <c r="A8" t="n">
        <v>2000</v>
      </c>
      <c r="B8" s="3" t="n">
        <v>0.1884583333333333</v>
      </c>
    </row>
    <row r="9">
      <c r="A9" t="n">
        <v>2001</v>
      </c>
      <c r="B9" s="3" t="n">
        <v>0.178025</v>
      </c>
    </row>
    <row r="10">
      <c r="A10" t="n">
        <v>2002</v>
      </c>
      <c r="B10" s="3" t="n">
        <v>0.15925</v>
      </c>
    </row>
    <row r="11">
      <c r="A11" t="n">
        <v>2003</v>
      </c>
      <c r="B11" s="3" t="n">
        <v>0.1510833333333333</v>
      </c>
    </row>
    <row r="12">
      <c r="A12" t="n">
        <v>2004</v>
      </c>
      <c r="B12" s="3" t="n">
        <v>0.1561916666666667</v>
      </c>
    </row>
    <row r="13">
      <c r="A13" t="n">
        <v>2005</v>
      </c>
      <c r="B13" s="3" t="n">
        <v>0.1612083333333333</v>
      </c>
    </row>
    <row r="14">
      <c r="A14" t="n">
        <v>2006</v>
      </c>
      <c r="B14" s="3" t="n">
        <v>0.1612583333333333</v>
      </c>
    </row>
    <row r="15">
      <c r="A15" t="n">
        <v>2007</v>
      </c>
      <c r="B15" s="3" t="n">
        <v>0.1526</v>
      </c>
    </row>
    <row r="16">
      <c r="A16" t="n">
        <v>2008</v>
      </c>
      <c r="B16" s="3" t="n">
        <v>0.1598333333333333</v>
      </c>
    </row>
    <row r="17">
      <c r="A17" t="n">
        <v>2009</v>
      </c>
      <c r="B17" s="3" t="n">
        <v>0.1604333333333333</v>
      </c>
    </row>
    <row r="18">
      <c r="A18" t="n">
        <v>2010</v>
      </c>
      <c r="B18" s="3" t="n">
        <v>0.1666666666666667</v>
      </c>
    </row>
    <row r="19">
      <c r="A19" t="n">
        <v>2011</v>
      </c>
      <c r="B19" s="3" t="n">
        <v>0.1693666666666666</v>
      </c>
    </row>
    <row r="20">
      <c r="A20" t="n">
        <v>2012</v>
      </c>
      <c r="B20" s="3" t="n">
        <v>0.17375</v>
      </c>
    </row>
    <row r="21">
      <c r="A21" t="n">
        <v>2013</v>
      </c>
      <c r="B21" s="3" t="n">
        <v>0.17915</v>
      </c>
    </row>
    <row r="22">
      <c r="A22" t="n">
        <v>2014</v>
      </c>
      <c r="B22" s="3" t="n">
        <v>0.1757666666666667</v>
      </c>
    </row>
    <row r="23">
      <c r="A23" t="n">
        <v>2015</v>
      </c>
      <c r="B23" s="3" t="n">
        <v>0.1791333333333333</v>
      </c>
    </row>
    <row r="24">
      <c r="A24" t="n">
        <v>2016</v>
      </c>
      <c r="B24" s="3" t="n">
        <v>0.1795083333333334</v>
      </c>
    </row>
    <row r="25">
      <c r="A25" t="n">
        <v>2017</v>
      </c>
      <c r="B25" s="3" t="n">
        <v>0.1794416666666667</v>
      </c>
    </row>
    <row r="26">
      <c r="A26" t="n">
        <v>2018</v>
      </c>
      <c r="B26" s="3" t="n">
        <v>0.1866666666666666</v>
      </c>
    </row>
    <row r="27">
      <c r="A27" t="n">
        <v>2019</v>
      </c>
      <c r="B27" s="3" t="n">
        <v>0.2024833333333333</v>
      </c>
    </row>
    <row r="28">
      <c r="A28" t="n">
        <v>2020</v>
      </c>
      <c r="B28" s="3" t="n">
        <v>0.2079</v>
      </c>
    </row>
    <row r="29">
      <c r="A29" t="n">
        <v>2021</v>
      </c>
      <c r="B29" s="3" t="n">
        <v>0.2144</v>
      </c>
    </row>
    <row r="30">
      <c r="A30" t="n">
        <v>2022</v>
      </c>
      <c r="B30" s="3" t="n">
        <v>0.1570422857620064</v>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B14"/>
  <sheetViews>
    <sheetView workbookViewId="0">
      <selection activeCell="B14" sqref="B14"/>
    </sheetView>
  </sheetViews>
  <sheetFormatPr baseColWidth="10" defaultColWidth="8.83203125" defaultRowHeight="15"/>
  <sheetData>
    <row r="1">
      <c r="A1" t="inlineStr">
        <is>
          <t>Year</t>
        </is>
      </c>
      <c r="B1" t="inlineStr">
        <is>
          <t>Value</t>
        </is>
      </c>
    </row>
    <row r="2">
      <c r="A2" t="n">
        <v>2010</v>
      </c>
      <c r="B2" t="n">
        <v>9.0451221008232</v>
      </c>
    </row>
    <row r="3">
      <c r="A3" t="n">
        <v>2011</v>
      </c>
      <c r="B3" s="7" t="n">
        <v>9.122055674518199</v>
      </c>
    </row>
    <row r="4">
      <c r="A4" t="n">
        <v>2012</v>
      </c>
      <c r="B4" s="7" t="n">
        <v>8.917793964620188</v>
      </c>
    </row>
    <row r="5">
      <c r="A5" t="n">
        <v>2013</v>
      </c>
      <c r="B5" s="7" t="n">
        <v>8.710659898477157</v>
      </c>
    </row>
    <row r="6">
      <c r="A6" t="n">
        <v>2014</v>
      </c>
      <c r="B6" s="7" t="n">
        <v>8.58</v>
      </c>
    </row>
    <row r="7">
      <c r="A7" t="n">
        <v>2015</v>
      </c>
      <c r="B7" s="7" t="n">
        <v>8.789999999999999</v>
      </c>
    </row>
    <row r="8">
      <c r="A8" t="n">
        <v>2016</v>
      </c>
      <c r="B8" s="7" t="n">
        <v>9.136047666335649</v>
      </c>
    </row>
    <row r="9">
      <c r="A9" t="n">
        <v>2017</v>
      </c>
      <c r="B9" s="7" t="n">
        <v>9.226305609284331</v>
      </c>
    </row>
    <row r="10">
      <c r="A10" t="n">
        <v>2018</v>
      </c>
      <c r="B10" s="7" t="n">
        <v>9.376770538243626</v>
      </c>
    </row>
    <row r="11">
      <c r="A11" t="n">
        <v>2019</v>
      </c>
      <c r="B11" s="7" t="n">
        <v>9.61038961038961</v>
      </c>
    </row>
    <row r="12">
      <c r="A12" t="n">
        <v>2020</v>
      </c>
      <c r="B12" s="7" t="n">
        <v>9.972401103955841</v>
      </c>
    </row>
    <row r="13">
      <c r="A13" t="n">
        <v>2021</v>
      </c>
      <c r="B13" s="7" t="n">
        <v>9.928315412186381</v>
      </c>
    </row>
    <row r="14">
      <c r="A14" t="n">
        <v>2022</v>
      </c>
      <c r="B14" s="7" t="n">
        <v>10.01276101467981</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BG120"/>
  <sheetViews>
    <sheetView topLeftCell="AI1" workbookViewId="0">
      <selection activeCell="AV2" sqref="AV2"/>
    </sheetView>
  </sheetViews>
  <sheetFormatPr baseColWidth="10" defaultColWidth="8.83203125" defaultRowHeight="15"/>
  <sheetData>
    <row r="1">
      <c r="A1" s="4" t="inlineStr">
        <is>
          <t>INFLATION</t>
        </is>
      </c>
      <c r="B1" s="4" t="n"/>
      <c r="C1" s="4" t="n"/>
      <c r="D1" s="4" t="n"/>
      <c r="E1" s="4" t="n"/>
      <c r="F1" s="4" t="n"/>
      <c r="H1" s="4" t="inlineStr">
        <is>
          <t>EARNINGS</t>
        </is>
      </c>
      <c r="I1" s="4" t="n"/>
      <c r="J1" s="4" t="n"/>
      <c r="K1" s="4" t="n"/>
      <c r="L1" s="4" t="n"/>
      <c r="M1" s="4" t="n"/>
      <c r="N1" s="4" t="n"/>
      <c r="P1" s="4" t="inlineStr">
        <is>
          <t>RETURNS TO EQUITY</t>
        </is>
      </c>
      <c r="Q1" s="4" t="n"/>
      <c r="R1" s="4" t="n"/>
      <c r="S1" s="4" t="n"/>
      <c r="T1" s="4" t="n"/>
      <c r="U1" s="4" t="n"/>
      <c r="V1" s="4" t="n"/>
      <c r="X1" s="4" t="inlineStr">
        <is>
          <t>HOUSING RETURNS</t>
        </is>
      </c>
      <c r="Y1" s="4" t="n"/>
      <c r="Z1" s="4" t="n"/>
      <c r="AB1" s="4" t="inlineStr">
        <is>
          <t>RETURNS TO SAVING</t>
        </is>
      </c>
      <c r="AC1" s="4" t="n"/>
      <c r="AD1" s="4" t="n"/>
      <c r="AE1" s="4" t="n"/>
      <c r="AF1" s="4" t="n"/>
      <c r="AH1" s="4" t="inlineStr">
        <is>
          <t>COST OF DEBT</t>
        </is>
      </c>
      <c r="AI1" s="4" t="n"/>
      <c r="AJ1" s="4" t="n"/>
      <c r="AK1" s="4" t="n"/>
      <c r="AL1" s="4" t="n"/>
      <c r="AM1" s="4" t="n"/>
      <c r="AN1" s="4" t="n"/>
      <c r="AO1" s="4" t="n"/>
      <c r="AQ1" s="4" t="inlineStr">
        <is>
          <t>HOURLY WAGE OF CARE WORKERS</t>
        </is>
      </c>
      <c r="AR1" s="4" t="n"/>
      <c r="AS1" s="4" t="n"/>
      <c r="AT1" s="4" t="n"/>
      <c r="AV1" s="4" t="inlineStr">
        <is>
          <t>GDP CVMs (real)</t>
        </is>
      </c>
      <c r="AW1" s="4" t="n"/>
      <c r="AX1" s="4" t="n"/>
      <c r="AY1" s="4" t="n"/>
      <c r="BA1" s="4" t="inlineStr">
        <is>
          <t>INFLATION 2</t>
        </is>
      </c>
      <c r="BB1" s="4" t="n"/>
      <c r="BC1" s="4" t="n"/>
      <c r="BD1" s="4" t="n"/>
    </row>
    <row r="2">
      <c r="B2" t="inlineStr">
        <is>
          <t>ONS consumer price inflation tables; Table 20a (D7BT), annual average all items, https://www.ons.gov.uk/economy/inflationandpriceindices/datasets/consumerpriceinflation - FROM UKMOD</t>
        </is>
      </c>
      <c r="C2" t="inlineStr">
        <is>
          <t>OBR March 2022 Economic and fiscal outlook – supplementary economy tables (Economy_Supplementary_Tables_March_2022.xlsx), Table 1.7, CPI (2015=100) 2008/09 to 2026/27. Table numbers are subject to change - see the pdf report for further details. - FROM UKMOD</t>
        </is>
      </c>
      <c r="I2" t="inlineStr">
        <is>
          <t>ONS EARN01: Average weekly earnings, Table 4: AWE Total Pay Index, Whole Economy (K54U) - FROM UKMOD</t>
        </is>
      </c>
      <c r="J2" t="inlineStr">
        <is>
          <t>OBR March 2023 Economic and fiscal outlook, supplementary economy tables, Table 1.6</t>
        </is>
      </c>
      <c r="X2" t="inlineStr">
        <is>
          <t>Table 26 Housing market: simple average house prices, by dwelling type and region, United Kingdom, from 1986 1, 2, 3, 4 (DCLG table 511), K02000001</t>
        </is>
      </c>
      <c r="AI2" t="inlineStr">
        <is>
          <t>Monthly interest rate of UK monetary financial institutions (excl. Central Bank) sterling personal loan, £10K to households (in percent) not seasonally adjusted              [a] [b] [c] [d]             IUMHPTL</t>
        </is>
      </c>
      <c r="AJ2" t="inlineStr">
        <is>
          <t>Monthly interest rate of UK monetary financial institutions (excl. Central Bank) sterling representative credit card lending to households (in percent) not seasonally adjusted              [a] [b] [c]             IUMCCTL</t>
        </is>
      </c>
      <c r="AQ2" t="inlineStr">
        <is>
          <t>Source: ONS dataset "Earnings and hours worked, care workers", Table 26.5a, mean all</t>
        </is>
      </c>
      <c r="AV2" t="inlineStr">
        <is>
          <t>ONS variable YBEZ</t>
        </is>
      </c>
      <c r="AX2" t="inlineStr">
        <is>
          <t>extrapolation</t>
        </is>
      </c>
      <c r="AY2" t="inlineStr">
        <is>
          <t>combined</t>
        </is>
      </c>
      <c r="BA2" t="inlineStr">
        <is>
          <t>Title</t>
        </is>
      </c>
      <c r="BB2" t="inlineStr">
        <is>
          <t>Final consumption expenditure deflator: SA</t>
        </is>
      </c>
    </row>
    <row r="3">
      <c r="B3" t="inlineStr">
        <is>
          <t xml:space="preserve"> D7BT</t>
        </is>
      </c>
      <c r="D3" t="inlineStr">
        <is>
          <t>COMBINED</t>
        </is>
      </c>
      <c r="E3" s="10" t="inlineStr">
        <is>
          <t>APPLIED</t>
        </is>
      </c>
      <c r="F3" s="10" t="n"/>
      <c r="K3" t="inlineStr">
        <is>
          <t>COMBINED</t>
        </is>
      </c>
      <c r="L3" t="inlineStr">
        <is>
          <t>REAL</t>
        </is>
      </c>
      <c r="M3" s="10" t="inlineStr">
        <is>
          <t>APPLIED</t>
        </is>
      </c>
      <c r="N3" s="10" t="n"/>
      <c r="Q3" t="inlineStr">
        <is>
          <t>FT 30 Index</t>
        </is>
      </c>
      <c r="R3" t="inlineStr">
        <is>
          <t>FT 30 Div %</t>
        </is>
      </c>
      <c r="S3" t="inlineStr">
        <is>
          <t>FTSE 100 Index</t>
        </is>
      </c>
      <c r="T3" t="inlineStr">
        <is>
          <t>watsonwyatt div yields</t>
        </is>
      </c>
      <c r="U3" t="inlineStr">
        <is>
          <t>https://www.investing.com/indices/ftse-100-total-return-historical-data</t>
        </is>
      </c>
      <c r="Y3" t="inlineStr">
        <is>
          <t xml:space="preserve">https://www.gov.uk/government/collections/uk-house-price-index-reports </t>
        </is>
      </c>
      <c r="AE3" s="10" t="inlineStr">
        <is>
          <t>APPLIED</t>
        </is>
      </c>
      <c r="AF3" s="10" t="n"/>
      <c r="AI3" t="inlineStr">
        <is>
          <t>Bank of England website</t>
        </is>
      </c>
      <c r="AJ3" t="inlineStr">
        <is>
          <t>Bank of England website</t>
        </is>
      </c>
      <c r="AM3" s="10" t="inlineStr">
        <is>
          <t>APPLIED</t>
        </is>
      </c>
      <c r="AN3" s="10" t="n"/>
      <c r="AO3" s="10" t="n"/>
      <c r="AQ3" t="inlineStr">
        <is>
          <t>https://www.ons.gov.uk/employmentandlabourmarket/peopleinwork/earningsandworkinghours/datasets/careworkerssocashetable26</t>
        </is>
      </c>
      <c r="AS3" s="10" t="inlineStr">
        <is>
          <t>APPLIED</t>
        </is>
      </c>
      <c r="AT3" s="10" t="n"/>
      <c r="BA3" t="inlineStr">
        <is>
          <t>CDID</t>
        </is>
      </c>
      <c r="BB3" t="inlineStr">
        <is>
          <t>YBGA</t>
        </is>
      </c>
    </row>
    <row r="4">
      <c r="A4" t="inlineStr">
        <is>
          <t>min year</t>
        </is>
      </c>
      <c r="B4">
        <f>MIN(A8:A156)</f>
        <v/>
      </c>
      <c r="C4">
        <f>VLOOKUP(B4,$A$8:$D$193,4,FALSE)</f>
        <v/>
      </c>
      <c r="E4" s="10" t="n"/>
      <c r="F4" s="10" t="n"/>
      <c r="J4" t="inlineStr">
        <is>
          <t>min year</t>
        </is>
      </c>
      <c r="K4">
        <f>MIN(H8:H156)</f>
        <v/>
      </c>
      <c r="L4">
        <f>VLOOKUP(K4,$H$8:$L$193,5,FALSE)</f>
        <v/>
      </c>
      <c r="M4" s="10" t="n"/>
      <c r="N4" s="10" t="n"/>
      <c r="AC4" t="inlineStr">
        <is>
          <t>NOMINAL</t>
        </is>
      </c>
      <c r="AD4" t="inlineStr">
        <is>
          <t>REAL</t>
        </is>
      </c>
      <c r="AE4" s="10" t="n"/>
      <c r="AF4" s="10" t="n"/>
      <c r="AI4" t="inlineStr">
        <is>
          <t>NOMINAL</t>
        </is>
      </c>
      <c r="AJ4" t="inlineStr">
        <is>
          <t>NOMINAL</t>
        </is>
      </c>
      <c r="AK4" t="inlineStr">
        <is>
          <t>REAL</t>
        </is>
      </c>
      <c r="AL4" t="inlineStr">
        <is>
          <t>REAL</t>
        </is>
      </c>
      <c r="AM4" s="10" t="n"/>
      <c r="AN4" s="10" t="n"/>
      <c r="AO4" s="10" t="n"/>
      <c r="AQ4" t="inlineStr">
        <is>
          <t>growth rate</t>
        </is>
      </c>
      <c r="AR4">
        <f>(AT19/AT9)^(1/(AQ19-AQ9))</f>
        <v/>
      </c>
      <c r="AS4" s="10" t="n"/>
      <c r="AT4" s="10" t="n"/>
      <c r="AV4" t="inlineStr">
        <is>
          <t>min year</t>
        </is>
      </c>
      <c r="AW4">
        <f>MIN(AV8:AV156)</f>
        <v/>
      </c>
      <c r="AX4">
        <f>VLOOKUP(AW4,$AV$8:$AY$193,4,FALSE)</f>
        <v/>
      </c>
      <c r="AY4">
        <f>(AX5/AX4)^(1/(AW5-AW4))</f>
        <v/>
      </c>
    </row>
    <row r="5">
      <c r="A5" t="inlineStr">
        <is>
          <t>max year</t>
        </is>
      </c>
      <c r="B5">
        <f>MAX(A8:A156)</f>
        <v/>
      </c>
      <c r="C5">
        <f>VLOOKUP(B5,$A$8:$D$193,4,FALSE)</f>
        <v/>
      </c>
      <c r="E5" s="10" t="n"/>
      <c r="F5" s="10" t="n"/>
      <c r="J5" t="inlineStr">
        <is>
          <t>max year</t>
        </is>
      </c>
      <c r="K5">
        <f>MAX(H8:H156)</f>
        <v/>
      </c>
      <c r="L5">
        <f>VLOOKUP(K5,$H$8:$L$193,5,FALSE)</f>
        <v/>
      </c>
      <c r="M5" s="10" t="n"/>
      <c r="N5" s="10" t="n"/>
      <c r="AE5" s="10" t="n"/>
      <c r="AF5" s="10" t="n"/>
      <c r="AM5" s="10" t="n"/>
      <c r="AN5" s="10" t="n"/>
      <c r="AO5" s="10" t="n"/>
      <c r="AS5" s="10" t="n"/>
      <c r="AT5" s="10" t="n"/>
      <c r="AV5" t="inlineStr">
        <is>
          <t>max year</t>
        </is>
      </c>
      <c r="AW5">
        <f>MAX(AV8:AV156)</f>
        <v/>
      </c>
      <c r="AX5">
        <f>VLOOKUP(AW5,$AV$8:$AY$193,4,FALSE)</f>
        <v/>
      </c>
      <c r="BD5" t="inlineStr">
        <is>
          <t>COMBINED</t>
        </is>
      </c>
    </row>
    <row r="6">
      <c r="A6" t="inlineStr">
        <is>
          <t>implied growth rate</t>
        </is>
      </c>
      <c r="C6">
        <f>(C5/C4)^(1/(B5-B4))</f>
        <v/>
      </c>
      <c r="E6" s="10" t="n"/>
      <c r="F6" s="10" t="n"/>
      <c r="J6" t="inlineStr">
        <is>
          <t>implied growth rate</t>
        </is>
      </c>
      <c r="L6">
        <f>(L5/L4)^(1/(K5-K4))</f>
        <v/>
      </c>
      <c r="M6" s="10" t="n"/>
      <c r="N6" s="10" t="n"/>
      <c r="AB6" t="inlineStr">
        <is>
          <t>AVERAGE</t>
        </is>
      </c>
      <c r="AC6">
        <f>AVERAGE(AC9:AC82)</f>
        <v/>
      </c>
      <c r="AD6">
        <f>AVERAGE(AD9:AD82)</f>
        <v/>
      </c>
      <c r="AE6" s="10" t="n"/>
      <c r="AF6" s="10" t="n"/>
      <c r="AJ6" t="inlineStr">
        <is>
          <t>AVERAGE</t>
        </is>
      </c>
      <c r="AK6">
        <f>AVERAGE(AK9:AK82)</f>
        <v/>
      </c>
      <c r="AL6">
        <f>AVERAGE(AL9:AL82)</f>
        <v/>
      </c>
      <c r="AM6" s="10" t="n"/>
      <c r="AN6" s="10" t="n"/>
      <c r="AO6" s="10" t="n"/>
      <c r="AR6" t="inlineStr">
        <is>
          <t>NOMINAL</t>
        </is>
      </c>
      <c r="AS6" s="10" t="n"/>
      <c r="AT6" s="10" t="inlineStr">
        <is>
          <t>REAL</t>
        </is>
      </c>
    </row>
    <row r="7">
      <c r="E7" s="10">
        <f>E8-1</f>
        <v/>
      </c>
      <c r="F7" s="11">
        <f>F8/C6</f>
        <v/>
      </c>
      <c r="M7" s="10">
        <f>M8-1</f>
        <v/>
      </c>
      <c r="N7" s="11">
        <f>N8/L6</f>
        <v/>
      </c>
      <c r="AE7" s="10" t="n"/>
      <c r="AF7" s="10" t="n"/>
      <c r="AM7" s="10" t="n"/>
      <c r="AN7" s="10" t="n"/>
      <c r="AO7" s="10" t="n"/>
      <c r="AS7" s="10" t="n"/>
      <c r="AT7" s="10" t="n"/>
    </row>
    <row r="8">
      <c r="A8" s="2" t="n">
        <v>1988</v>
      </c>
      <c r="B8" t="n">
        <v>49.6</v>
      </c>
      <c r="D8" s="1">
        <f>IF(B8="",D7*C8/C7,B8)</f>
        <v/>
      </c>
      <c r="E8" s="10">
        <f>A8</f>
        <v/>
      </c>
      <c r="F8" s="11">
        <f>D8</f>
        <v/>
      </c>
      <c r="H8" t="n">
        <v>2001</v>
      </c>
      <c r="I8" t="n">
        <v>105.970912875</v>
      </c>
      <c r="K8" s="1">
        <f>IF(I8="",K7*J8/J7,I8)</f>
        <v/>
      </c>
      <c r="L8" s="1">
        <f>K8*100/VLOOKUP(H8,$E$8:$F$71,2,FALSE)</f>
        <v/>
      </c>
      <c r="M8" s="10">
        <f>H8</f>
        <v/>
      </c>
      <c r="N8" s="11">
        <f>L8</f>
        <v/>
      </c>
      <c r="P8" s="6" t="n">
        <v>25538</v>
      </c>
      <c r="Q8" t="n">
        <v>156.816736333</v>
      </c>
      <c r="R8" t="n">
        <v>0.04109999999995983</v>
      </c>
      <c r="S8" t="e">
        <v>#N/A</v>
      </c>
      <c r="T8" s="3" t="e">
        <v>#N/A</v>
      </c>
      <c r="U8" s="3" t="n"/>
      <c r="X8" t="n">
        <v>1986</v>
      </c>
      <c r="Y8" t="n">
        <v>36276</v>
      </c>
      <c r="AE8" s="10">
        <f>AE9-1</f>
        <v/>
      </c>
      <c r="AF8" s="10">
        <f>AD6</f>
        <v/>
      </c>
      <c r="AG8" s="3" t="n"/>
      <c r="AM8" s="10">
        <f>AM9-1</f>
        <v/>
      </c>
      <c r="AN8" s="10">
        <f>AK6</f>
        <v/>
      </c>
      <c r="AO8" s="10">
        <f>AL6</f>
        <v/>
      </c>
      <c r="AS8" s="10" t="n">
        <v>2010</v>
      </c>
      <c r="AT8" s="12">
        <f>AT9/AR4</f>
        <v/>
      </c>
      <c r="AV8" t="n">
        <v>1948</v>
      </c>
      <c r="AW8" t="n">
        <v>17</v>
      </c>
      <c r="AY8" s="1">
        <f>MAX(AW8:AX8)</f>
        <v/>
      </c>
      <c r="BA8" t="n">
        <v>1948</v>
      </c>
      <c r="BB8" s="1" t="n">
        <v>3.7</v>
      </c>
      <c r="BD8">
        <f>IF(BA8&lt;$B$4,BD9*BB8/BB9,IF(BA8&gt;$B$5,BD5*BB8/BB5,VLOOKUP(BA8,$A$8:$D$119,4,FALSE)))</f>
        <v/>
      </c>
    </row>
    <row r="9">
      <c r="A9" s="2" t="n">
        <v>1989</v>
      </c>
      <c r="B9" t="n">
        <v>52.2</v>
      </c>
      <c r="D9" s="1">
        <f>IF(B9="",D8*C9/C8,B9)</f>
        <v/>
      </c>
      <c r="E9" s="10">
        <f>A9</f>
        <v/>
      </c>
      <c r="F9" s="11">
        <f>D9</f>
        <v/>
      </c>
      <c r="H9">
        <f>H8+1</f>
        <v/>
      </c>
      <c r="I9" t="n">
        <v>109.2658522333333</v>
      </c>
      <c r="K9" s="1">
        <f>IF(I9="",K8*J9/J8,I9)</f>
        <v/>
      </c>
      <c r="L9" s="1">
        <f>K9*100/VLOOKUP(H9,$E$8:$F$71,2,FALSE)</f>
        <v/>
      </c>
      <c r="M9" s="10">
        <f>H9</f>
        <v/>
      </c>
      <c r="N9" s="11">
        <f>L9</f>
        <v/>
      </c>
      <c r="P9" s="6" t="n">
        <v>25903</v>
      </c>
      <c r="Q9" t="n">
        <v>138.465946783</v>
      </c>
      <c r="R9" t="n">
        <v>0.04749999999990973</v>
      </c>
      <c r="S9" t="e">
        <v>#N/A</v>
      </c>
      <c r="T9" s="3" t="e">
        <v>#N/A</v>
      </c>
      <c r="U9" s="3" t="n"/>
      <c r="V9">
        <f>Q9/Q8+R8-1</f>
        <v/>
      </c>
      <c r="X9" t="n">
        <v>1987</v>
      </c>
      <c r="Y9" t="n">
        <v>40391</v>
      </c>
      <c r="Z9">
        <f>Y9/Y8-1</f>
        <v/>
      </c>
      <c r="AB9" t="n">
        <v>1987</v>
      </c>
      <c r="AC9">
        <f>AVERAGE(Z9,V26)</f>
        <v/>
      </c>
      <c r="AD9">
        <f>(1+AC9)/(F8/F7)-1</f>
        <v/>
      </c>
      <c r="AE9" s="10">
        <f>AB9</f>
        <v/>
      </c>
      <c r="AF9" s="10">
        <f>AD9</f>
        <v/>
      </c>
      <c r="AG9" s="3" t="n"/>
      <c r="AH9" t="n">
        <v>1995</v>
      </c>
      <c r="AI9" t="n">
        <v>16.845</v>
      </c>
      <c r="AJ9" t="n">
        <v>22.75583333333334</v>
      </c>
      <c r="AK9">
        <f>(1+AI9/100)/($F16/$F15)-1</f>
        <v/>
      </c>
      <c r="AL9">
        <f>(1+AJ9/100)/($F16/$F15)-1</f>
        <v/>
      </c>
      <c r="AM9" s="10">
        <f>AH9</f>
        <v/>
      </c>
      <c r="AN9" s="10">
        <f>AI9/100</f>
        <v/>
      </c>
      <c r="AO9" s="10">
        <f>AJ9/100</f>
        <v/>
      </c>
      <c r="AQ9" t="n">
        <v>2011</v>
      </c>
      <c r="AR9" s="7" t="n">
        <v>8.52</v>
      </c>
      <c r="AS9" s="10">
        <f>AQ9</f>
        <v/>
      </c>
      <c r="AT9" s="12">
        <f>AR9*BE71</f>
        <v/>
      </c>
      <c r="AV9" t="n">
        <v>1949</v>
      </c>
      <c r="AW9" t="n">
        <v>17.6</v>
      </c>
      <c r="AY9" s="1">
        <f>MAX(AW9:AX9)</f>
        <v/>
      </c>
      <c r="BA9">
        <f>BA8+1</f>
        <v/>
      </c>
      <c r="BB9" s="1" t="n">
        <v>3.8</v>
      </c>
      <c r="BD9">
        <f>IF(BA9&lt;$B$4,BD10*BB9/BB10,IF(BA9&gt;$B$5,BD8*BB9/BB8,VLOOKUP(BA9,$A$8:$D$119,4,FALSE)))</f>
        <v/>
      </c>
    </row>
    <row r="10">
      <c r="A10" s="2" t="n">
        <v>1990</v>
      </c>
      <c r="B10" t="n">
        <v>55.9</v>
      </c>
      <c r="D10" s="1">
        <f>IF(B10="",D9*C10/C9,B10)</f>
        <v/>
      </c>
      <c r="E10" s="10">
        <f>A10</f>
        <v/>
      </c>
      <c r="F10" s="11">
        <f>D10</f>
        <v/>
      </c>
      <c r="H10">
        <f>H9+1</f>
        <v/>
      </c>
      <c r="I10" t="n">
        <v>112.9766520416667</v>
      </c>
      <c r="K10" s="1">
        <f>IF(I10="",K9*J10/J9,I10)</f>
        <v/>
      </c>
      <c r="L10" s="1">
        <f>K10*100/VLOOKUP(H10,$E$8:$F$71,2,FALSE)</f>
        <v/>
      </c>
      <c r="M10" s="10">
        <f>H10</f>
        <v/>
      </c>
      <c r="N10" s="11">
        <f>L10</f>
        <v/>
      </c>
      <c r="P10" s="6" t="n">
        <v>26268</v>
      </c>
      <c r="Q10" t="n">
        <v>195.326713111</v>
      </c>
      <c r="R10" t="n">
        <v>0.03599999999996928</v>
      </c>
      <c r="S10" t="e">
        <v>#N/A</v>
      </c>
      <c r="T10" s="3" t="e">
        <v>#N/A</v>
      </c>
      <c r="U10" s="3" t="n"/>
      <c r="V10">
        <f>Q10/Q9+R9-1</f>
        <v/>
      </c>
      <c r="X10" t="n">
        <v>1988</v>
      </c>
      <c r="Y10" t="n">
        <v>49355</v>
      </c>
      <c r="Z10">
        <f>Y10/Y9-1</f>
        <v/>
      </c>
      <c r="AB10">
        <f>AB9+1</f>
        <v/>
      </c>
      <c r="AC10">
        <f>AVERAGE(Z10,V27)</f>
        <v/>
      </c>
      <c r="AD10">
        <f>(1+AC10)/(F9/F8)-1</f>
        <v/>
      </c>
      <c r="AE10" s="10">
        <f>AB10</f>
        <v/>
      </c>
      <c r="AF10" s="10">
        <f>AD10</f>
        <v/>
      </c>
      <c r="AG10" s="3" t="n"/>
      <c r="AH10">
        <f>AH9+1</f>
        <v/>
      </c>
      <c r="AI10" t="n">
        <v>14.02083333333333</v>
      </c>
      <c r="AJ10" t="n">
        <v>22.24083333333333</v>
      </c>
      <c r="AK10">
        <f>(1+AI10/100)/($F17/$F16)-1</f>
        <v/>
      </c>
      <c r="AL10">
        <f>(1+AJ10/100)/($F17/$F16)-1</f>
        <v/>
      </c>
      <c r="AM10" s="10">
        <f>AH10</f>
        <v/>
      </c>
      <c r="AN10" s="10">
        <f>AI10/100</f>
        <v/>
      </c>
      <c r="AO10" s="10">
        <f>AJ10/100</f>
        <v/>
      </c>
      <c r="AQ10" t="n">
        <v>2012</v>
      </c>
      <c r="AR10" s="7" t="n">
        <v>8.57</v>
      </c>
      <c r="AS10" s="10">
        <f>AQ10</f>
        <v/>
      </c>
      <c r="AT10" s="12">
        <f>AR10*BE72</f>
        <v/>
      </c>
      <c r="AV10" t="n">
        <v>1950</v>
      </c>
      <c r="AW10" t="n">
        <v>18.2</v>
      </c>
      <c r="AY10" s="1">
        <f>MAX(AW10:AX10)</f>
        <v/>
      </c>
      <c r="BA10">
        <f>BA9+1</f>
        <v/>
      </c>
      <c r="BB10" s="1" t="n">
        <v>3.9</v>
      </c>
      <c r="BD10">
        <f>IF(BA10&lt;$B$4,BD11*BB10/BB11,IF(BA10&gt;$B$5,BD9*BB10/BB9,VLOOKUP(BA10,$A$8:$D$119,4,FALSE)))</f>
        <v/>
      </c>
    </row>
    <row r="11">
      <c r="A11" s="2" t="n">
        <v>1991</v>
      </c>
      <c r="B11" t="n">
        <v>60.1</v>
      </c>
      <c r="D11" s="1">
        <f>IF(B11="",D10*C11/C10,B11)</f>
        <v/>
      </c>
      <c r="E11" s="10">
        <f>A11</f>
        <v/>
      </c>
      <c r="F11" s="11">
        <f>D11</f>
        <v/>
      </c>
      <c r="H11">
        <f>H10+1</f>
        <v/>
      </c>
      <c r="I11" t="n">
        <v>118.2560781583333</v>
      </c>
      <c r="K11" s="1">
        <f>IF(I11="",K10*J11/J10,I11)</f>
        <v/>
      </c>
      <c r="L11" s="1">
        <f>K11*100/VLOOKUP(H11,$E$8:$F$71,2,FALSE)</f>
        <v/>
      </c>
      <c r="M11" s="10">
        <f>H11</f>
        <v/>
      </c>
      <c r="N11" s="11">
        <f>L11</f>
        <v/>
      </c>
      <c r="P11" s="6" t="n">
        <v>26634</v>
      </c>
      <c r="Q11" t="n">
        <v>214.675580068</v>
      </c>
      <c r="R11" t="n">
        <v>0.0331999999999646</v>
      </c>
      <c r="S11" t="e">
        <v>#N/A</v>
      </c>
      <c r="T11" s="3" t="e">
        <v>#N/A</v>
      </c>
      <c r="U11" s="3" t="n"/>
      <c r="V11">
        <f>Q11/Q10+R10-1</f>
        <v/>
      </c>
      <c r="X11" t="n">
        <v>1989</v>
      </c>
      <c r="Y11" t="n">
        <v>54846</v>
      </c>
      <c r="Z11">
        <f>Y11/Y10-1</f>
        <v/>
      </c>
      <c r="AB11">
        <f>AB10+1</f>
        <v/>
      </c>
      <c r="AC11">
        <f>AVERAGE(Z11,V28)</f>
        <v/>
      </c>
      <c r="AD11">
        <f>(1+AC11)/(F10/F9)-1</f>
        <v/>
      </c>
      <c r="AE11" s="10">
        <f>AB11</f>
        <v/>
      </c>
      <c r="AF11" s="10">
        <f>AD11</f>
        <v/>
      </c>
      <c r="AG11" s="3" t="n"/>
      <c r="AH11">
        <f>AH10+1</f>
        <v/>
      </c>
      <c r="AI11" t="n">
        <v>13.78333333333333</v>
      </c>
      <c r="AJ11" t="n">
        <v>22.3675</v>
      </c>
      <c r="AK11">
        <f>(1+AI11/100)/($F18/$F17)-1</f>
        <v/>
      </c>
      <c r="AL11">
        <f>(1+AJ11/100)/($F18/$F17)-1</f>
        <v/>
      </c>
      <c r="AM11" s="10">
        <f>AH11</f>
        <v/>
      </c>
      <c r="AN11" s="10">
        <f>AI11/100</f>
        <v/>
      </c>
      <c r="AO11" s="10">
        <f>AJ11/100</f>
        <v/>
      </c>
      <c r="AQ11" t="n">
        <v>2013</v>
      </c>
      <c r="AR11" s="7" t="n">
        <v>8.58</v>
      </c>
      <c r="AS11" s="10">
        <f>AQ11</f>
        <v/>
      </c>
      <c r="AT11" s="12">
        <f>AR11*BE73</f>
        <v/>
      </c>
      <c r="AV11" t="n">
        <v>1951</v>
      </c>
      <c r="AW11" t="n">
        <v>18.9</v>
      </c>
      <c r="AX11">
        <f>IF(AND(AW12="",NOT(AW11="")),AW11,IF(AW11="",IF(AW10="",AX10*AX10/AX9,(AW10/$AW$8)^(1/(AV10-$AV$8))*AX10),""))</f>
        <v/>
      </c>
      <c r="AY11" s="1">
        <f>MAX(AW11:AX11)</f>
        <v/>
      </c>
      <c r="BA11">
        <f>BA10+1</f>
        <v/>
      </c>
      <c r="BB11" s="1" t="n">
        <v>4.2</v>
      </c>
      <c r="BD11">
        <f>IF(BA11&lt;$B$4,BD12*BB11/BB12,IF(BA11&gt;$B$5,BD10*BB11/BB10,VLOOKUP(BA11,$A$8:$D$119,4,FALSE)))</f>
        <v/>
      </c>
    </row>
    <row r="12">
      <c r="A12" s="2" t="n">
        <v>1992</v>
      </c>
      <c r="B12" t="n">
        <v>62.6</v>
      </c>
      <c r="D12" s="1">
        <f>IF(B12="",D11*C12/C11,B12)</f>
        <v/>
      </c>
      <c r="E12" s="10">
        <f>A12</f>
        <v/>
      </c>
      <c r="F12" s="11">
        <f>D12</f>
        <v/>
      </c>
      <c r="H12">
        <f>H11+1</f>
        <v/>
      </c>
      <c r="I12" t="n">
        <v>123.7629216916667</v>
      </c>
      <c r="K12" s="1">
        <f>IF(I12="",K11*J12/J11,I12)</f>
        <v/>
      </c>
      <c r="L12" s="1">
        <f>K12*100/VLOOKUP(H12,$E$8:$F$71,2,FALSE)</f>
        <v/>
      </c>
      <c r="M12" s="10">
        <f>H12</f>
        <v/>
      </c>
      <c r="N12" s="11">
        <f>L12</f>
        <v/>
      </c>
      <c r="P12" s="6" t="n">
        <v>26999</v>
      </c>
      <c r="Q12" t="n">
        <v>148.832117078</v>
      </c>
      <c r="R12" t="n">
        <v>0.0476000062200768</v>
      </c>
      <c r="S12" t="e">
        <v>#N/A</v>
      </c>
      <c r="T12" s="3" t="e">
        <v>#N/A</v>
      </c>
      <c r="U12" s="3" t="n"/>
      <c r="V12">
        <f>Q12/Q11+R11-1</f>
        <v/>
      </c>
      <c r="X12" t="n">
        <v>1990</v>
      </c>
      <c r="Y12" t="n">
        <v>59785</v>
      </c>
      <c r="Z12">
        <f>Y12/Y11-1</f>
        <v/>
      </c>
      <c r="AB12">
        <f>AB11+1</f>
        <v/>
      </c>
      <c r="AC12">
        <f>AVERAGE(Z12,V29)</f>
        <v/>
      </c>
      <c r="AD12">
        <f>(1+AC12)/(F11/F10)-1</f>
        <v/>
      </c>
      <c r="AE12" s="10">
        <f>AB12</f>
        <v/>
      </c>
      <c r="AF12" s="10">
        <f>AD12</f>
        <v/>
      </c>
      <c r="AG12" s="3" t="n"/>
      <c r="AH12">
        <f>AH11+1</f>
        <v/>
      </c>
      <c r="AI12" t="n">
        <v>13.4625</v>
      </c>
      <c r="AJ12" t="n">
        <v>21.95166666666667</v>
      </c>
      <c r="AK12">
        <f>(1+AI12/100)/($F19/$F18)-1</f>
        <v/>
      </c>
      <c r="AL12">
        <f>(1+AJ12/100)/($F19/$F18)-1</f>
        <v/>
      </c>
      <c r="AM12" s="10">
        <f>AH12</f>
        <v/>
      </c>
      <c r="AN12" s="10">
        <f>AI12/100</f>
        <v/>
      </c>
      <c r="AO12" s="10">
        <f>AJ12/100</f>
        <v/>
      </c>
      <c r="AQ12" t="n">
        <v>2014</v>
      </c>
      <c r="AR12" s="7" t="n">
        <v>8.58</v>
      </c>
      <c r="AS12" s="10">
        <f>AQ12</f>
        <v/>
      </c>
      <c r="AT12" s="12">
        <f>AR12*BE74</f>
        <v/>
      </c>
      <c r="AV12" t="n">
        <v>1952</v>
      </c>
      <c r="AW12" t="n">
        <v>19.1</v>
      </c>
      <c r="AX12">
        <f>IF(AND(AW13="",NOT(AW12="")),AW12,IF(AW12="",IF(AW11="",AX11*AX11/AX10,(AW11/$AW$8)^(1/(AV11-$AV$8))*AX11),""))</f>
        <v/>
      </c>
      <c r="AY12" s="1">
        <f>MAX(AW12:AX12)</f>
        <v/>
      </c>
      <c r="BA12">
        <f>BA11+1</f>
        <v/>
      </c>
      <c r="BB12" s="1" t="n">
        <v>4.5</v>
      </c>
      <c r="BD12">
        <f>IF(BA12&lt;$B$4,BD13*BB12/BB13,IF(BA12&gt;$B$5,BD11*BB12/BB11,VLOOKUP(BA12,$A$8:$D$119,4,FALSE)))</f>
        <v/>
      </c>
    </row>
    <row r="13">
      <c r="A13" s="2" t="n">
        <v>1993</v>
      </c>
      <c r="B13" t="n">
        <v>64.2</v>
      </c>
      <c r="D13" s="1">
        <f>IF(B13="",D12*C13/C12,B13)</f>
        <v/>
      </c>
      <c r="E13" s="10">
        <f>A13</f>
        <v/>
      </c>
      <c r="F13" s="11">
        <f>D13</f>
        <v/>
      </c>
      <c r="H13">
        <f>H12+1</f>
        <v/>
      </c>
      <c r="I13" t="n">
        <v>129.913194675</v>
      </c>
      <c r="K13" s="1">
        <f>IF(I13="",K12*J13/J12,I13)</f>
        <v/>
      </c>
      <c r="L13" s="1">
        <f>K13*100/VLOOKUP(H13,$E$8:$F$71,2,FALSE)</f>
        <v/>
      </c>
      <c r="M13" s="10">
        <f>H13</f>
        <v/>
      </c>
      <c r="N13" s="11">
        <f>L13</f>
        <v/>
      </c>
      <c r="P13" s="6" t="n">
        <v>27364</v>
      </c>
      <c r="Q13" t="n">
        <v>63.2247450411</v>
      </c>
      <c r="R13" t="n">
        <v>0.120900000000016</v>
      </c>
      <c r="S13" t="e">
        <v>#N/A</v>
      </c>
      <c r="T13" s="3" t="e">
        <v>#N/A</v>
      </c>
      <c r="U13" s="3" t="n"/>
      <c r="V13">
        <f>Q13/Q12+R12-1</f>
        <v/>
      </c>
      <c r="X13" t="n">
        <v>1991</v>
      </c>
      <c r="Y13" t="n">
        <v>62455</v>
      </c>
      <c r="Z13">
        <f>Y13/Y12-1</f>
        <v/>
      </c>
      <c r="AB13">
        <f>AB12+1</f>
        <v/>
      </c>
      <c r="AC13">
        <f>AVERAGE(Z13,V30)</f>
        <v/>
      </c>
      <c r="AD13">
        <f>(1+AC13)/(F12/F11)-1</f>
        <v/>
      </c>
      <c r="AE13" s="10">
        <f>AB13</f>
        <v/>
      </c>
      <c r="AF13" s="10">
        <f>AD13</f>
        <v/>
      </c>
      <c r="AG13" s="3" t="n"/>
      <c r="AH13">
        <f>AH12+1</f>
        <v/>
      </c>
      <c r="AI13" t="n">
        <v>12.17666666666667</v>
      </c>
      <c r="AJ13" t="n">
        <v>19.585</v>
      </c>
      <c r="AK13">
        <f>(1+AI13/100)/($F20/$F19)-1</f>
        <v/>
      </c>
      <c r="AL13">
        <f>(1+AJ13/100)/($F20/$F19)-1</f>
        <v/>
      </c>
      <c r="AM13" s="10">
        <f>AH13</f>
        <v/>
      </c>
      <c r="AN13" s="10">
        <f>AI13/100</f>
        <v/>
      </c>
      <c r="AO13" s="10">
        <f>AJ13/100</f>
        <v/>
      </c>
      <c r="AQ13" t="n">
        <v>2015</v>
      </c>
      <c r="AR13" s="7" t="n">
        <v>8.789999999999999</v>
      </c>
      <c r="AS13" s="10">
        <f>AQ13</f>
        <v/>
      </c>
      <c r="AT13" s="12">
        <f>AR13*BE75</f>
        <v/>
      </c>
      <c r="AV13" t="n">
        <v>1953</v>
      </c>
      <c r="AW13" t="n">
        <v>20.2</v>
      </c>
      <c r="AX13">
        <f>IF(AND(AW14="",NOT(AW13="")),AW13,IF(AW13="",IF(AW12="",AX12*AX12/AX11,(AW12/$AW$8)^(1/(AV12-$AV$8))*AX12),""))</f>
        <v/>
      </c>
      <c r="AY13" s="1">
        <f>MAX(AW13:AX13)</f>
        <v/>
      </c>
      <c r="BA13">
        <f>BA12+1</f>
        <v/>
      </c>
      <c r="BB13" s="1" t="n">
        <v>4.6</v>
      </c>
      <c r="BD13">
        <f>IF(BA13&lt;$B$4,BD14*BB13/BB14,IF(BA13&gt;$B$5,BD12*BB13/BB12,VLOOKUP(BA13,$A$8:$D$119,4,FALSE)))</f>
        <v/>
      </c>
    </row>
    <row r="14">
      <c r="A14" s="2" t="n">
        <v>1994</v>
      </c>
      <c r="B14" t="n">
        <v>65.5</v>
      </c>
      <c r="D14" s="1">
        <f>IF(B14="",D13*C14/C13,B14)</f>
        <v/>
      </c>
      <c r="E14" s="10">
        <f>A14</f>
        <v/>
      </c>
      <c r="F14" s="11">
        <f>D14</f>
        <v/>
      </c>
      <c r="H14">
        <f>H13+1</f>
        <v/>
      </c>
      <c r="I14" t="n">
        <v>135.7479611</v>
      </c>
      <c r="K14" s="1">
        <f>IF(I14="",K13*J14/J13,I14)</f>
        <v/>
      </c>
      <c r="L14" s="1">
        <f>K14*100/VLOOKUP(H14,$E$8:$F$71,2,FALSE)</f>
        <v/>
      </c>
      <c r="M14" s="10">
        <f>H14</f>
        <v/>
      </c>
      <c r="N14" s="11">
        <f>L14</f>
        <v/>
      </c>
      <c r="P14" s="6" t="n">
        <v>27729</v>
      </c>
      <c r="Q14" t="n">
        <v>158.08</v>
      </c>
      <c r="R14" t="n">
        <v>0.05849999366807945</v>
      </c>
      <c r="S14" t="e">
        <v>#N/A</v>
      </c>
      <c r="T14" s="3" t="e">
        <v>#N/A</v>
      </c>
      <c r="U14" s="3" t="n"/>
      <c r="V14">
        <f>Q14/Q13+R13-1</f>
        <v/>
      </c>
      <c r="X14" t="n">
        <v>1992</v>
      </c>
      <c r="Y14" t="n">
        <v>61366</v>
      </c>
      <c r="Z14">
        <f>Y14/Y13-1</f>
        <v/>
      </c>
      <c r="AB14">
        <f>AB13+1</f>
        <v/>
      </c>
      <c r="AC14">
        <f>AVERAGE(Z14,V31)</f>
        <v/>
      </c>
      <c r="AD14">
        <f>(1+AC14)/(F13/F12)-1</f>
        <v/>
      </c>
      <c r="AE14" s="10">
        <f>AB14</f>
        <v/>
      </c>
      <c r="AF14" s="10">
        <f>AD14</f>
        <v/>
      </c>
      <c r="AG14" s="3" t="n"/>
      <c r="AH14">
        <f>AH13+1</f>
        <v/>
      </c>
      <c r="AI14" t="n">
        <v>11.73083333333333</v>
      </c>
      <c r="AJ14" t="n">
        <v>18.84583333333333</v>
      </c>
      <c r="AK14">
        <f>(1+AI14/100)/($F21/$F20)-1</f>
        <v/>
      </c>
      <c r="AL14">
        <f>(1+AJ14/100)/($F21/$F20)-1</f>
        <v/>
      </c>
      <c r="AM14" s="10">
        <f>AH14</f>
        <v/>
      </c>
      <c r="AN14" s="10">
        <f>AI14/100</f>
        <v/>
      </c>
      <c r="AO14" s="10">
        <f>AJ14/100</f>
        <v/>
      </c>
      <c r="AQ14" t="n">
        <v>2016</v>
      </c>
      <c r="AR14" s="7" t="n">
        <v>9.199999999999999</v>
      </c>
      <c r="AS14" s="10">
        <f>AQ14</f>
        <v/>
      </c>
      <c r="AT14" s="12">
        <f>AR14*BE76</f>
        <v/>
      </c>
      <c r="AV14" t="n">
        <v>1954</v>
      </c>
      <c r="AW14" t="n">
        <v>21.1</v>
      </c>
      <c r="AX14">
        <f>IF(AND(AW15="",NOT(AW14="")),AW14,IF(AW14="",IF(AW13="",AX13*AX13/AX12,(AW13/$AW$8)^(1/(AV13-$AV$8))*AX13),""))</f>
        <v/>
      </c>
      <c r="AY14" s="1">
        <f>MAX(AW14:AX14)</f>
        <v/>
      </c>
      <c r="BA14">
        <f>BA13+1</f>
        <v/>
      </c>
      <c r="BB14" s="1" t="n">
        <v>4.7</v>
      </c>
      <c r="BD14">
        <f>IF(BA14&lt;$B$4,BD15*BB14/BB15,IF(BA14&gt;$B$5,BD13*BB14/BB13,VLOOKUP(BA14,$A$8:$D$119,4,FALSE)))</f>
        <v/>
      </c>
    </row>
    <row r="15">
      <c r="A15" s="2" t="n">
        <v>1995</v>
      </c>
      <c r="B15" t="n">
        <v>67.2</v>
      </c>
      <c r="D15" s="1">
        <f>IF(B15="",D14*C15/C14,B15)</f>
        <v/>
      </c>
      <c r="E15" s="10">
        <f>A15</f>
        <v/>
      </c>
      <c r="F15" s="11">
        <f>D15</f>
        <v/>
      </c>
      <c r="H15">
        <f>H14+1</f>
        <v/>
      </c>
      <c r="I15" t="n">
        <v>137.9535522583334</v>
      </c>
      <c r="J15" t="n">
        <v>99.61079712030254</v>
      </c>
      <c r="K15" s="1">
        <f>IF(I15="",K14*J15/J14,I15)</f>
        <v/>
      </c>
      <c r="L15" s="1">
        <f>K15*100/VLOOKUP(H15,$E$8:$F$71,2,FALSE)</f>
        <v/>
      </c>
      <c r="M15" s="10">
        <f>H15</f>
        <v/>
      </c>
      <c r="N15" s="11">
        <f>L15</f>
        <v/>
      </c>
      <c r="P15" s="6" t="n">
        <v>28095</v>
      </c>
      <c r="Q15" t="n">
        <v>151.96</v>
      </c>
      <c r="R15" t="n">
        <v>0.0742</v>
      </c>
      <c r="S15" t="e">
        <v>#N/A</v>
      </c>
      <c r="T15" s="3" t="e">
        <v>#N/A</v>
      </c>
      <c r="U15" s="3" t="n"/>
      <c r="V15">
        <f>Q15/Q14+R14-1</f>
        <v/>
      </c>
      <c r="X15" t="n">
        <v>1993</v>
      </c>
      <c r="Y15" t="n">
        <v>62333</v>
      </c>
      <c r="Z15">
        <f>Y15/Y14-1</f>
        <v/>
      </c>
      <c r="AB15">
        <f>AB14+1</f>
        <v/>
      </c>
      <c r="AC15">
        <f>AVERAGE(Z15,V32)</f>
        <v/>
      </c>
      <c r="AD15">
        <f>(1+AC15)/(F14/F13)-1</f>
        <v/>
      </c>
      <c r="AE15" s="10">
        <f>AB15</f>
        <v/>
      </c>
      <c r="AF15" s="10">
        <f>AD15</f>
        <v/>
      </c>
      <c r="AG15" s="3" t="n"/>
      <c r="AH15">
        <f>AH14+1</f>
        <v/>
      </c>
      <c r="AI15" t="n">
        <v>11.91666666666667</v>
      </c>
      <c r="AJ15" t="n">
        <v>17.8025</v>
      </c>
      <c r="AK15">
        <f>(1+AI15/100)/($F22/$F21)-1</f>
        <v/>
      </c>
      <c r="AL15">
        <f>(1+AJ15/100)/($F22/$F21)-1</f>
        <v/>
      </c>
      <c r="AM15" s="10">
        <f>AH15</f>
        <v/>
      </c>
      <c r="AN15" s="10">
        <f>AI15/100</f>
        <v/>
      </c>
      <c r="AO15" s="10">
        <f>AJ15/100</f>
        <v/>
      </c>
      <c r="AQ15" t="n">
        <v>2017</v>
      </c>
      <c r="AR15" s="7" t="n">
        <v>9.539999999999999</v>
      </c>
      <c r="AS15" s="10">
        <f>AQ15</f>
        <v/>
      </c>
      <c r="AT15" s="12">
        <f>AR15*BE77</f>
        <v/>
      </c>
      <c r="AV15" t="n">
        <v>1955</v>
      </c>
      <c r="AW15" t="n">
        <v>21.9</v>
      </c>
      <c r="AX15">
        <f>IF(AND(AW16="",NOT(AW15="")),AW15,IF(AW15="",IF(AW14="",AX14*AX14/AX13,(AW14/$AW$8)^(1/(AV14-$AV$8))*AX14),""))</f>
        <v/>
      </c>
      <c r="AY15" s="1">
        <f>MAX(AW15:AX15)</f>
        <v/>
      </c>
      <c r="BA15">
        <f>BA14+1</f>
        <v/>
      </c>
      <c r="BB15" s="1" t="n">
        <v>4.8</v>
      </c>
      <c r="BD15">
        <f>IF(BA15&lt;$B$4,BD16*BB15/BB16,IF(BA15&gt;$B$5,BD14*BB15/BB14,VLOOKUP(BA15,$A$8:$D$119,4,FALSE)))</f>
        <v/>
      </c>
    </row>
    <row r="16">
      <c r="A16" s="2" t="n">
        <v>1996</v>
      </c>
      <c r="B16" t="n">
        <v>68.8</v>
      </c>
      <c r="D16" s="1">
        <f>IF(B16="",D15*C16/C15,B16)</f>
        <v/>
      </c>
      <c r="E16" s="10">
        <f>A16</f>
        <v/>
      </c>
      <c r="F16" s="11">
        <f>D16</f>
        <v/>
      </c>
      <c r="H16">
        <f>H15+1</f>
        <v/>
      </c>
      <c r="I16" t="n">
        <v>139.7519898583334</v>
      </c>
      <c r="J16" t="n">
        <v>102.2180966024078</v>
      </c>
      <c r="K16" s="1">
        <f>IF(I16="",K15*J16/J15,I16)</f>
        <v/>
      </c>
      <c r="L16" s="1">
        <f>K16*100/VLOOKUP(H16,$E$8:$F$71,2,FALSE)</f>
        <v/>
      </c>
      <c r="M16" s="10">
        <f>H16</f>
        <v/>
      </c>
      <c r="N16" s="11">
        <f>L16</f>
        <v/>
      </c>
      <c r="P16" s="6" t="n">
        <v>28460</v>
      </c>
      <c r="Q16" t="n">
        <v>214.53</v>
      </c>
      <c r="R16" t="n">
        <v>0.05380000884724747</v>
      </c>
      <c r="S16" t="e">
        <v>#N/A</v>
      </c>
      <c r="T16" s="3" t="e">
        <v>#N/A</v>
      </c>
      <c r="U16" s="3" t="n"/>
      <c r="V16">
        <f>Q16/Q15+R15-1</f>
        <v/>
      </c>
      <c r="X16" t="n">
        <v>1994</v>
      </c>
      <c r="Y16" t="n">
        <v>64787</v>
      </c>
      <c r="Z16">
        <f>Y16/Y15-1</f>
        <v/>
      </c>
      <c r="AB16">
        <f>AB15+1</f>
        <v/>
      </c>
      <c r="AC16">
        <f>AVERAGE(Z16,V33)</f>
        <v/>
      </c>
      <c r="AD16">
        <f>(1+AC16)/(F15/F14)-1</f>
        <v/>
      </c>
      <c r="AE16" s="10">
        <f>AB16</f>
        <v/>
      </c>
      <c r="AF16" s="10">
        <f>AD16</f>
        <v/>
      </c>
      <c r="AG16" s="3" t="n"/>
      <c r="AH16">
        <f>AH15+1</f>
        <v/>
      </c>
      <c r="AI16" t="n">
        <v>10.49916666666667</v>
      </c>
      <c r="AJ16" t="n">
        <v>15.925</v>
      </c>
      <c r="AK16">
        <f>(1+AI16/100)/($F23/$F22)-1</f>
        <v/>
      </c>
      <c r="AL16">
        <f>(1+AJ16/100)/($F23/$F22)-1</f>
        <v/>
      </c>
      <c r="AM16" s="10">
        <f>AH16</f>
        <v/>
      </c>
      <c r="AN16" s="10">
        <f>AI16/100</f>
        <v/>
      </c>
      <c r="AO16" s="10">
        <f>AJ16/100</f>
        <v/>
      </c>
      <c r="AQ16" t="n">
        <v>2018</v>
      </c>
      <c r="AR16" s="7" t="n">
        <v>9.93</v>
      </c>
      <c r="AS16" s="10">
        <f>AQ16</f>
        <v/>
      </c>
      <c r="AT16" s="12">
        <f>AR16*BE78</f>
        <v/>
      </c>
      <c r="AV16" t="n">
        <v>1956</v>
      </c>
      <c r="AW16" t="n">
        <v>22.3</v>
      </c>
      <c r="AX16">
        <f>IF(AND(AW17="",NOT(AW16="")),AW16,IF(AW16="",IF(AW15="",AX15*AX15/AX14,(AW15/$AW$8)^(1/(AV15-$AV$8))*AX15),""))</f>
        <v/>
      </c>
      <c r="AY16" s="1">
        <f>MAX(AW16:AX16)</f>
        <v/>
      </c>
      <c r="BA16">
        <f>BA15+1</f>
        <v/>
      </c>
      <c r="BB16" s="1" t="n">
        <v>5.1</v>
      </c>
      <c r="BD16">
        <f>IF(BA16&lt;$B$4,BD17*BB16/BB17,IF(BA16&gt;$B$5,BD15*BB16/BB15,VLOOKUP(BA16,$A$8:$D$119,4,FALSE)))</f>
        <v/>
      </c>
    </row>
    <row r="17">
      <c r="A17" s="2" t="n">
        <v>1997</v>
      </c>
      <c r="B17" t="n">
        <v>70.09999999999999</v>
      </c>
      <c r="D17" s="1">
        <f>IF(B17="",D16*C17/C16,B17)</f>
        <v/>
      </c>
      <c r="E17" s="10">
        <f>A17</f>
        <v/>
      </c>
      <c r="F17" s="11">
        <f>D17</f>
        <v/>
      </c>
      <c r="H17">
        <f>H16+1</f>
        <v/>
      </c>
      <c r="I17" t="n">
        <v>142.7282476666667</v>
      </c>
      <c r="J17" t="n">
        <v>102.6330866755293</v>
      </c>
      <c r="K17" s="1">
        <f>IF(I17="",K16*J17/J16,I17)</f>
        <v/>
      </c>
      <c r="L17" s="1">
        <f>K17*100/VLOOKUP(H17,$E$8:$F$71,2,FALSE)</f>
        <v/>
      </c>
      <c r="M17" s="10">
        <f>H17</f>
        <v/>
      </c>
      <c r="N17" s="11">
        <f>L17</f>
        <v/>
      </c>
      <c r="P17" s="6" t="n">
        <v>28825</v>
      </c>
      <c r="Q17" t="n">
        <v>220.22</v>
      </c>
      <c r="R17" t="n">
        <v>0.05510000815411861</v>
      </c>
      <c r="S17" t="e">
        <v>#N/A</v>
      </c>
      <c r="T17" s="3" t="e">
        <v>#N/A</v>
      </c>
      <c r="U17" s="3" t="n"/>
      <c r="V17">
        <f>Q17/Q16+R16-1</f>
        <v/>
      </c>
      <c r="X17" t="n">
        <v>1995</v>
      </c>
      <c r="Y17" t="n">
        <v>65644</v>
      </c>
      <c r="Z17">
        <f>Y17/Y16-1</f>
        <v/>
      </c>
      <c r="AB17">
        <f>AB16+1</f>
        <v/>
      </c>
      <c r="AC17">
        <f>AVERAGE(Z17,V34)</f>
        <v/>
      </c>
      <c r="AD17">
        <f>(1+AC17)/(F16/F15)-1</f>
        <v/>
      </c>
      <c r="AE17" s="10">
        <f>AB17</f>
        <v/>
      </c>
      <c r="AF17" s="10">
        <f>AD17</f>
        <v/>
      </c>
      <c r="AG17" s="3" t="n"/>
      <c r="AH17">
        <f>AH16+1</f>
        <v/>
      </c>
      <c r="AI17" t="n">
        <v>8.460000000000001</v>
      </c>
      <c r="AJ17" t="n">
        <v>15.10833333333333</v>
      </c>
      <c r="AK17">
        <f>(1+AI17/100)/($F24/$F23)-1</f>
        <v/>
      </c>
      <c r="AL17">
        <f>(1+AJ17/100)/($F24/$F23)-1</f>
        <v/>
      </c>
      <c r="AM17" s="10">
        <f>AH17</f>
        <v/>
      </c>
      <c r="AN17" s="10">
        <f>AI17/100</f>
        <v/>
      </c>
      <c r="AO17" s="10">
        <f>AJ17/100</f>
        <v/>
      </c>
      <c r="AQ17" t="n">
        <v>2019</v>
      </c>
      <c r="AR17" s="7" t="n">
        <v>10.36</v>
      </c>
      <c r="AS17" s="10">
        <f>AQ17</f>
        <v/>
      </c>
      <c r="AT17" s="12">
        <f>AR17*BE79</f>
        <v/>
      </c>
      <c r="AV17" t="n">
        <v>1957</v>
      </c>
      <c r="AW17" t="n">
        <v>22.7</v>
      </c>
      <c r="AX17">
        <f>IF(AND(AW18="",NOT(AW17="")),AW17,IF(AW17="",IF(AW16="",AX16*AX16/AX15,(AW16/$AW$8)^(1/(AV16-$AV$8))*AX16),""))</f>
        <v/>
      </c>
      <c r="AY17" s="1">
        <f>MAX(AW17:AX17)</f>
        <v/>
      </c>
      <c r="BA17">
        <f>BA16+1</f>
        <v/>
      </c>
      <c r="BB17" s="1" t="n">
        <v>5.2</v>
      </c>
      <c r="BD17">
        <f>IF(BA17&lt;$B$4,BD18*BB17/BB18,IF(BA17&gt;$B$5,BD16*BB17/BB16,VLOOKUP(BA17,$A$8:$D$119,4,FALSE)))</f>
        <v/>
      </c>
    </row>
    <row r="18">
      <c r="A18" s="2" t="n">
        <v>1998</v>
      </c>
      <c r="B18" s="5" t="n">
        <v>71.2</v>
      </c>
      <c r="D18" s="1">
        <f>IF(B18="",D17*C18/C17,B18)</f>
        <v/>
      </c>
      <c r="E18" s="10">
        <f>A18</f>
        <v/>
      </c>
      <c r="F18" s="11">
        <f>D18</f>
        <v/>
      </c>
      <c r="H18">
        <f>H17+1</f>
        <v/>
      </c>
      <c r="I18" t="n">
        <v>145.2942169083334</v>
      </c>
      <c r="J18" t="n">
        <v>104.6310107210228</v>
      </c>
      <c r="K18" s="1">
        <f>IF(I18="",K17*J18/J17,I18)</f>
        <v/>
      </c>
      <c r="L18" s="1">
        <f>K18*100/VLOOKUP(H18,$E$8:$F$71,2,FALSE)</f>
        <v/>
      </c>
      <c r="M18" s="10">
        <f>H18</f>
        <v/>
      </c>
      <c r="N18" s="11">
        <f>L18</f>
        <v/>
      </c>
      <c r="P18" s="6" t="n">
        <v>29190</v>
      </c>
      <c r="Q18" t="n">
        <v>229.79</v>
      </c>
      <c r="R18" t="n">
        <v>0.0692000159375952</v>
      </c>
      <c r="S18" t="e">
        <v>#N/A</v>
      </c>
      <c r="T18" s="3" t="e">
        <v>#N/A</v>
      </c>
      <c r="U18" s="3" t="n"/>
      <c r="V18">
        <f>Q18/Q17+R17-1</f>
        <v/>
      </c>
      <c r="X18" t="n">
        <v>1996</v>
      </c>
      <c r="Y18" t="n">
        <v>70626</v>
      </c>
      <c r="Z18">
        <f>Y18/Y17-1</f>
        <v/>
      </c>
      <c r="AB18">
        <f>AB17+1</f>
        <v/>
      </c>
      <c r="AC18">
        <f>AVERAGE(Z18,V35)</f>
        <v/>
      </c>
      <c r="AD18">
        <f>(1+AC18)/(F17/F16)-1</f>
        <v/>
      </c>
      <c r="AE18" s="10">
        <f>AB18</f>
        <v/>
      </c>
      <c r="AF18" s="10">
        <f>AD18</f>
        <v/>
      </c>
      <c r="AG18" s="3" t="n"/>
      <c r="AH18">
        <f>AH17+1</f>
        <v/>
      </c>
      <c r="AI18" t="n">
        <v>8.003333333333336</v>
      </c>
      <c r="AJ18" t="n">
        <v>15.61916666666667</v>
      </c>
      <c r="AK18">
        <f>(1+AI18/100)/($F25/$F24)-1</f>
        <v/>
      </c>
      <c r="AL18">
        <f>(1+AJ18/100)/($F25/$F24)-1</f>
        <v/>
      </c>
      <c r="AM18" s="10">
        <f>AH18</f>
        <v/>
      </c>
      <c r="AN18" s="10">
        <f>AI18/100</f>
        <v/>
      </c>
      <c r="AO18" s="10">
        <f>AJ18/100</f>
        <v/>
      </c>
      <c r="AQ18" t="n">
        <v>2020</v>
      </c>
      <c r="AR18" s="7" t="n">
        <v>10.84</v>
      </c>
      <c r="AS18" s="10">
        <f>AQ18</f>
        <v/>
      </c>
      <c r="AT18" s="12">
        <f>AR18*BE80</f>
        <v/>
      </c>
      <c r="AV18" t="n">
        <v>1958</v>
      </c>
      <c r="AW18" t="n">
        <v>23</v>
      </c>
      <c r="AX18">
        <f>IF(AND(AW19="",NOT(AW18="")),AW18,IF(AW18="",IF(AW17="",AX17*AX17/AX16,(AW17/$AW$8)^(1/(AV17-$AV$8))*AX17),""))</f>
        <v/>
      </c>
      <c r="AY18" s="1">
        <f>MAX(AW18:AX18)</f>
        <v/>
      </c>
      <c r="BA18">
        <f>BA17+1</f>
        <v/>
      </c>
      <c r="BB18" s="1" t="n">
        <v>5.4</v>
      </c>
      <c r="BD18">
        <f>IF(BA18&lt;$B$4,BD19*BB18/BB19,IF(BA18&gt;$B$5,BD17*BB18/BB17,VLOOKUP(BA18,$A$8:$D$119,4,FALSE)))</f>
        <v/>
      </c>
    </row>
    <row r="19">
      <c r="A19" s="2" t="n">
        <v>1999</v>
      </c>
      <c r="B19" s="5" t="n">
        <v>72.09999999999999</v>
      </c>
      <c r="D19" s="1">
        <f>IF(B19="",D18*C19/C18,B19)</f>
        <v/>
      </c>
      <c r="E19" s="10">
        <f>A19</f>
        <v/>
      </c>
      <c r="F19" s="11">
        <f>D19</f>
        <v/>
      </c>
      <c r="H19">
        <f>H18+1</f>
        <v/>
      </c>
      <c r="I19" t="n">
        <v>147.205185575</v>
      </c>
      <c r="J19" t="n">
        <v>104.2104202102971</v>
      </c>
      <c r="K19" s="1">
        <f>IF(I19="",K18*J19/J18,I19)</f>
        <v/>
      </c>
      <c r="L19" s="1">
        <f>K19*100/VLOOKUP(H19,$E$8:$F$71,2,FALSE)</f>
        <v/>
      </c>
      <c r="M19" s="10">
        <f>H19</f>
        <v/>
      </c>
      <c r="N19" s="11">
        <f>L19</f>
        <v/>
      </c>
      <c r="P19" s="6" t="n">
        <v>29556</v>
      </c>
      <c r="Q19" t="n">
        <v>291.99</v>
      </c>
      <c r="R19" t="n">
        <v>0.05940000619541765</v>
      </c>
      <c r="S19" t="e">
        <v>#N/A</v>
      </c>
      <c r="T19" s="3" t="e">
        <v>#N/A</v>
      </c>
      <c r="U19" s="3" t="n"/>
      <c r="V19">
        <f>Q19/Q18+R18-1</f>
        <v/>
      </c>
      <c r="X19" t="n">
        <v>1997</v>
      </c>
      <c r="Y19" t="n">
        <v>76103</v>
      </c>
      <c r="Z19">
        <f>Y19/Y18-1</f>
        <v/>
      </c>
      <c r="AB19">
        <f>AB18+1</f>
        <v/>
      </c>
      <c r="AC19">
        <f>AVERAGE(Z19,V36)</f>
        <v/>
      </c>
      <c r="AD19">
        <f>(1+AC19)/(F18/F17)-1</f>
        <v/>
      </c>
      <c r="AE19" s="10">
        <f>AB19</f>
        <v/>
      </c>
      <c r="AF19" s="10">
        <f>AD19</f>
        <v/>
      </c>
      <c r="AG19" s="3" t="n"/>
      <c r="AH19">
        <f>AH18+1</f>
        <v/>
      </c>
      <c r="AI19" t="n">
        <v>7.37</v>
      </c>
      <c r="AJ19" t="n">
        <v>16.12083333333333</v>
      </c>
      <c r="AK19">
        <f>(1+AI19/100)/($F26/$F25)-1</f>
        <v/>
      </c>
      <c r="AL19">
        <f>(1+AJ19/100)/($F26/$F25)-1</f>
        <v/>
      </c>
      <c r="AM19" s="10">
        <f>AH19</f>
        <v/>
      </c>
      <c r="AN19" s="10">
        <f>AI19/100</f>
        <v/>
      </c>
      <c r="AO19" s="10">
        <f>AJ19/100</f>
        <v/>
      </c>
      <c r="AQ19" t="n">
        <v>2021</v>
      </c>
      <c r="AR19" s="7" t="n">
        <v>11.08</v>
      </c>
      <c r="AS19" s="10">
        <f>AQ19</f>
        <v/>
      </c>
      <c r="AT19" s="12">
        <f>AR19*BE81</f>
        <v/>
      </c>
      <c r="AV19" t="n">
        <v>1959</v>
      </c>
      <c r="AW19" t="n">
        <v>24</v>
      </c>
      <c r="AX19">
        <f>IF(AND(AW20="",NOT(AW19="")),AW19,IF(AW19="",IF(AW18="",AX18*AX18/AX17,(AW18/$AW$8)^(1/(AV18-$AV$8))*AX18),""))</f>
        <v/>
      </c>
      <c r="AY19" s="1">
        <f>MAX(AW19:AX19)</f>
        <v/>
      </c>
      <c r="BA19">
        <f>BA18+1</f>
        <v/>
      </c>
      <c r="BB19" s="1" t="n">
        <v>5.4</v>
      </c>
      <c r="BD19">
        <f>IF(BA19&lt;$B$4,BD20*BB19/BB20,IF(BA19&gt;$B$5,BD18*BB19/BB18,VLOOKUP(BA19,$A$8:$D$119,4,FALSE)))</f>
        <v/>
      </c>
    </row>
    <row r="20">
      <c r="A20" s="2" t="n">
        <v>2000</v>
      </c>
      <c r="B20" s="5" t="n">
        <v>72.7</v>
      </c>
      <c r="D20" s="1">
        <f>IF(B20="",D19*C20/C19,B20)</f>
        <v/>
      </c>
      <c r="E20" s="10">
        <f>A20</f>
        <v/>
      </c>
      <c r="F20" s="11">
        <f>D20</f>
        <v/>
      </c>
      <c r="H20">
        <f>H19+1</f>
        <v/>
      </c>
      <c r="I20" t="n">
        <v>149.167069625</v>
      </c>
      <c r="J20" t="n">
        <v>108.6591600949273</v>
      </c>
      <c r="K20" s="1">
        <f>IF(I20="",K19*J20/J19,I20)</f>
        <v/>
      </c>
      <c r="L20" s="1">
        <f>K20*100/VLOOKUP(H20,$E$8:$F$71,2,FALSE)</f>
        <v/>
      </c>
      <c r="M20" s="10">
        <f>H20</f>
        <v/>
      </c>
      <c r="N20" s="11">
        <f>L20</f>
        <v/>
      </c>
      <c r="P20" s="6" t="n">
        <v>29921</v>
      </c>
      <c r="Q20" t="n">
        <v>313.12</v>
      </c>
      <c r="R20" t="n">
        <v>0.05869999390744763</v>
      </c>
      <c r="S20" t="e">
        <v>#N/A</v>
      </c>
      <c r="T20" s="3" t="e">
        <v>#N/A</v>
      </c>
      <c r="U20" s="3" t="n"/>
      <c r="V20">
        <f>Q20/Q19+R19-1</f>
        <v/>
      </c>
      <c r="X20" t="n">
        <v>1998</v>
      </c>
      <c r="Y20" t="n">
        <v>81774</v>
      </c>
      <c r="Z20">
        <f>Y20/Y19-1</f>
        <v/>
      </c>
      <c r="AB20">
        <f>AB19+1</f>
        <v/>
      </c>
      <c r="AC20">
        <f>AVERAGE(Z20,V37)</f>
        <v/>
      </c>
      <c r="AD20">
        <f>(1+AC20)/(F19/F18)-1</f>
        <v/>
      </c>
      <c r="AE20" s="10">
        <f>AB20</f>
        <v/>
      </c>
      <c r="AF20" s="10">
        <f>AD20</f>
        <v/>
      </c>
      <c r="AG20" s="3" t="n"/>
      <c r="AH20">
        <f>AH19+1</f>
        <v/>
      </c>
      <c r="AI20" t="n">
        <v>7.180833333333335</v>
      </c>
      <c r="AJ20" t="n">
        <v>16.12583333333333</v>
      </c>
      <c r="AK20">
        <f>(1+AI20/100)/($F27/$F26)-1</f>
        <v/>
      </c>
      <c r="AL20">
        <f>(1+AJ20/100)/($F27/$F26)-1</f>
        <v/>
      </c>
      <c r="AM20" s="10">
        <f>AH20</f>
        <v/>
      </c>
      <c r="AN20" s="10">
        <f>AI20/100</f>
        <v/>
      </c>
      <c r="AO20" s="10">
        <f>AJ20/100</f>
        <v/>
      </c>
      <c r="AQ20" t="n">
        <v>2022</v>
      </c>
      <c r="AR20" s="7" t="n">
        <v>11.92</v>
      </c>
      <c r="AS20" s="10">
        <f>AQ20</f>
        <v/>
      </c>
      <c r="AT20" s="12">
        <f>AT19*AR4</f>
        <v/>
      </c>
      <c r="AV20" t="n">
        <v>1960</v>
      </c>
      <c r="AW20" t="n">
        <v>25.5</v>
      </c>
      <c r="AX20">
        <f>IF(AND(AW21="",NOT(AW20="")),AW20,IF(AW20="",IF(AW19="",AX19*AX19/AX18,(AW19/$AW$8)^(1/(AV19-$AV$8))*AX19),""))</f>
        <v/>
      </c>
      <c r="AY20" s="1">
        <f>MAX(AW20:AX20)</f>
        <v/>
      </c>
      <c r="BA20">
        <f>BA19+1</f>
        <v/>
      </c>
      <c r="BB20" s="1" t="n">
        <v>5.5</v>
      </c>
      <c r="BD20">
        <f>IF(BA20&lt;$B$4,BD21*BB20/BB21,IF(BA20&gt;$B$5,BD19*BB20/BB19,VLOOKUP(BA20,$A$8:$D$119,4,FALSE)))</f>
        <v/>
      </c>
    </row>
    <row r="21">
      <c r="A21" s="2" t="n">
        <v>2001</v>
      </c>
      <c r="B21" s="5" t="n">
        <v>73.59999999999999</v>
      </c>
      <c r="D21" s="1">
        <f>IF(B21="",D20*C21/C20,B21)</f>
        <v/>
      </c>
      <c r="E21" s="10">
        <f>A21</f>
        <v/>
      </c>
      <c r="F21" s="11">
        <f>D21</f>
        <v/>
      </c>
      <c r="H21">
        <f>H20+1</f>
        <v/>
      </c>
      <c r="I21" t="n">
        <v>151.0381047083333</v>
      </c>
      <c r="J21" t="n">
        <v>108.8419215263337</v>
      </c>
      <c r="K21" s="1">
        <f>IF(I21="",K20*J21/J20,I21)</f>
        <v/>
      </c>
      <c r="L21" s="1">
        <f>K21*100/VLOOKUP(H21,$E$8:$F$71,2,FALSE)</f>
        <v/>
      </c>
      <c r="M21" s="10">
        <f>H21</f>
        <v/>
      </c>
      <c r="N21" s="11">
        <f>L21</f>
        <v/>
      </c>
      <c r="P21" s="6" t="n">
        <v>30286</v>
      </c>
      <c r="Q21" t="n">
        <v>382.22</v>
      </c>
      <c r="R21" t="n">
        <v>0.04899999999999999</v>
      </c>
      <c r="S21" t="e">
        <v>#N/A</v>
      </c>
      <c r="T21" s="3" t="e">
        <v>#N/A</v>
      </c>
      <c r="U21" s="3" t="n"/>
      <c r="V21">
        <f>Q21/Q20+R20-1</f>
        <v/>
      </c>
      <c r="X21" t="n">
        <v>1999</v>
      </c>
      <c r="Y21" t="n">
        <v>92521.02967840443</v>
      </c>
      <c r="Z21">
        <f>Y21/Y20-1</f>
        <v/>
      </c>
      <c r="AB21">
        <f>AB20+1</f>
        <v/>
      </c>
      <c r="AC21">
        <f>AVERAGE(Z21,V38)</f>
        <v/>
      </c>
      <c r="AD21">
        <f>(1+AC21)/(F20/F19)-1</f>
        <v/>
      </c>
      <c r="AE21" s="10">
        <f>AB21</f>
        <v/>
      </c>
      <c r="AF21" s="10">
        <f>AD21</f>
        <v/>
      </c>
      <c r="AG21" s="3" t="n"/>
      <c r="AH21">
        <f>AH20+1</f>
        <v/>
      </c>
      <c r="AI21" t="n">
        <v>7.628333333333333</v>
      </c>
      <c r="AJ21" t="n">
        <v>15.26</v>
      </c>
      <c r="AK21">
        <f>(1+AI21/100)/($F28/$F27)-1</f>
        <v/>
      </c>
      <c r="AL21">
        <f>(1+AJ21/100)/($F28/$F27)-1</f>
        <v/>
      </c>
      <c r="AM21" s="10">
        <f>AH21</f>
        <v/>
      </c>
      <c r="AN21" s="10">
        <f>AI21/100</f>
        <v/>
      </c>
      <c r="AO21" s="10">
        <f>AJ21/100</f>
        <v/>
      </c>
      <c r="AV21" t="n">
        <v>1961</v>
      </c>
      <c r="AW21" t="n">
        <v>26.2</v>
      </c>
      <c r="AX21">
        <f>IF(AND(AW22="",NOT(AW21="")),AW21,IF(AW21="",IF(AW20="",AX20*AX20/AX19,(AW20/$AW$8)^(1/(AV20-$AV$8))*AX20),""))</f>
        <v/>
      </c>
      <c r="AY21" s="1">
        <f>MAX(AW21:AX21)</f>
        <v/>
      </c>
      <c r="BA21">
        <f>BA20+1</f>
        <v/>
      </c>
      <c r="BB21" s="1" t="n">
        <v>5.7</v>
      </c>
      <c r="BD21">
        <f>IF(BA21&lt;$B$4,BD22*BB21/BB22,IF(BA21&gt;$B$5,BD20*BB21/BB20,VLOOKUP(BA21,$A$8:$D$119,4,FALSE)))</f>
        <v/>
      </c>
    </row>
    <row r="22">
      <c r="A22" s="2" t="n">
        <v>2002</v>
      </c>
      <c r="B22" s="5" t="n">
        <v>74.5</v>
      </c>
      <c r="D22" s="1">
        <f>IF(B22="",D21*C22/C21,B22)</f>
        <v/>
      </c>
      <c r="E22" s="10">
        <f>A22</f>
        <v/>
      </c>
      <c r="F22" s="11">
        <f>D22</f>
        <v/>
      </c>
      <c r="H22">
        <f>H21+1</f>
        <v/>
      </c>
      <c r="I22" t="n">
        <v>154.6386619583333</v>
      </c>
      <c r="J22" t="n">
        <v>111.3888684521741</v>
      </c>
      <c r="K22" s="1">
        <f>IF(I22="",K21*J22/J21,I22)</f>
        <v/>
      </c>
      <c r="L22" s="1">
        <f>K22*100/VLOOKUP(H22,$E$8:$F$71,2,FALSE)</f>
        <v/>
      </c>
      <c r="M22" s="10">
        <f>H22</f>
        <v/>
      </c>
      <c r="N22" s="11">
        <f>L22</f>
        <v/>
      </c>
      <c r="P22" s="6" t="n">
        <v>30651</v>
      </c>
      <c r="Q22" t="n">
        <v>470.5</v>
      </c>
      <c r="R22" t="n">
        <v>0.04540001215664187</v>
      </c>
      <c r="S22" t="e">
        <v>#N/A</v>
      </c>
      <c r="T22" s="3" t="e">
        <v>#N/A</v>
      </c>
      <c r="U22" s="3" t="n"/>
      <c r="V22">
        <f>Q22/Q21+R21-1</f>
        <v/>
      </c>
      <c r="X22" t="n">
        <v>2000</v>
      </c>
      <c r="Y22" t="n">
        <v>101550.031158745</v>
      </c>
      <c r="Z22">
        <f>Y22/Y21-1</f>
        <v/>
      </c>
      <c r="AB22">
        <f>AB21+1</f>
        <v/>
      </c>
      <c r="AC22">
        <f>AVERAGE(Z22,V39)</f>
        <v/>
      </c>
      <c r="AD22">
        <f>(1+AC22)/(F21/F20)-1</f>
        <v/>
      </c>
      <c r="AE22" s="10">
        <f>AB22</f>
        <v/>
      </c>
      <c r="AF22" s="10">
        <f>AD22</f>
        <v/>
      </c>
      <c r="AG22" s="3" t="n"/>
      <c r="AH22">
        <f>AH21+1</f>
        <v/>
      </c>
      <c r="AI22" t="n">
        <v>9.059999999999997</v>
      </c>
      <c r="AJ22" t="n">
        <v>15.98333333333333</v>
      </c>
      <c r="AK22">
        <f>(1+AI22/100)/($F29/$F28)-1</f>
        <v/>
      </c>
      <c r="AL22">
        <f>(1+AJ22/100)/($F29/$F28)-1</f>
        <v/>
      </c>
      <c r="AM22" s="10">
        <f>AH22</f>
        <v/>
      </c>
      <c r="AN22" s="10">
        <f>AI22/100</f>
        <v/>
      </c>
      <c r="AO22" s="10">
        <f>AJ22/100</f>
        <v/>
      </c>
      <c r="AV22" t="n">
        <v>1962</v>
      </c>
      <c r="AW22" t="n">
        <v>26.5</v>
      </c>
      <c r="AX22">
        <f>IF(AND(AW23="",NOT(AW22="")),AW22,IF(AW22="",IF(AW21="",AX21*AX21/AX20,(AW21/$AW$8)^(1/(AV21-$AV$8))*AX21),""))</f>
        <v/>
      </c>
      <c r="AY22" s="1">
        <f>MAX(AW22:AX22)</f>
        <v/>
      </c>
      <c r="BA22">
        <f>BA21+1</f>
        <v/>
      </c>
      <c r="BB22" s="1" t="n">
        <v>5.9</v>
      </c>
      <c r="BD22">
        <f>IF(BA22&lt;$B$4,BD23*BB22/BB23,IF(BA22&gt;$B$5,BD21*BB22/BB21,VLOOKUP(BA22,$A$8:$D$119,4,FALSE)))</f>
        <v/>
      </c>
    </row>
    <row r="23">
      <c r="A23" s="2" t="n">
        <v>2003</v>
      </c>
      <c r="B23" s="5" t="n">
        <v>75.5</v>
      </c>
      <c r="D23" s="1">
        <f>IF(B23="",D22*C23/C22,B23)</f>
        <v/>
      </c>
      <c r="E23" s="10">
        <f>A23</f>
        <v/>
      </c>
      <c r="F23" s="11">
        <f>D23</f>
        <v/>
      </c>
      <c r="H23">
        <f>H22+1</f>
        <v/>
      </c>
      <c r="I23" t="n">
        <v>158.30014155</v>
      </c>
      <c r="J23" t="n">
        <v>113.9175395795724</v>
      </c>
      <c r="K23" s="1">
        <f>IF(I23="",K22*J23/J22,I23)</f>
        <v/>
      </c>
      <c r="L23" s="1">
        <f>K23*100/VLOOKUP(H23,$E$8:$F$71,2,FALSE)</f>
        <v/>
      </c>
      <c r="M23" s="10">
        <f>H23</f>
        <v/>
      </c>
      <c r="N23" s="11">
        <f>L23</f>
        <v/>
      </c>
      <c r="P23" s="6" t="n">
        <v>31017</v>
      </c>
      <c r="Q23" t="n">
        <v>592.9400000000001</v>
      </c>
      <c r="R23" t="n">
        <v>0.04410000159594562</v>
      </c>
      <c r="S23" t="n">
        <v>1187.9</v>
      </c>
      <c r="T23" s="3" t="e">
        <v>#N/A</v>
      </c>
      <c r="U23" s="3" t="n"/>
      <c r="V23">
        <f>Q23/Q22+R22-1</f>
        <v/>
      </c>
      <c r="X23" t="n">
        <v>2001</v>
      </c>
      <c r="Y23" t="n">
        <v>112835.3986748725</v>
      </c>
      <c r="Z23">
        <f>Y23/Y22-1</f>
        <v/>
      </c>
      <c r="AB23">
        <f>AB22+1</f>
        <v/>
      </c>
      <c r="AC23">
        <f>AVERAGE(Z23,V40)</f>
        <v/>
      </c>
      <c r="AD23">
        <f>(1+AC23)/(F22/F21)-1</f>
        <v/>
      </c>
      <c r="AE23" s="10">
        <f>AB23</f>
        <v/>
      </c>
      <c r="AF23" s="10">
        <f>AD23</f>
        <v/>
      </c>
      <c r="AG23" s="3" t="n"/>
      <c r="AH23">
        <f>AH22+1</f>
        <v/>
      </c>
      <c r="AI23" t="n">
        <v>10.09083333333333</v>
      </c>
      <c r="AJ23" t="n">
        <v>16.04333333333333</v>
      </c>
      <c r="AK23">
        <f>(1+AI23/100)/($F30/$F29)-1</f>
        <v/>
      </c>
      <c r="AL23">
        <f>(1+AJ23/100)/($F30/$F29)-1</f>
        <v/>
      </c>
      <c r="AM23" s="10">
        <f>AH23</f>
        <v/>
      </c>
      <c r="AN23" s="10">
        <f>AI23/100</f>
        <v/>
      </c>
      <c r="AO23" s="10">
        <f>AJ23/100</f>
        <v/>
      </c>
      <c r="AV23" t="n">
        <v>1963</v>
      </c>
      <c r="AW23" t="n">
        <v>27.8</v>
      </c>
      <c r="AX23">
        <f>IF(AND(AW24="",NOT(AW23="")),AW23,IF(AW23="",IF(AW22="",AX22*AX22/AX21,(AW22/$AW$8)^(1/(AV22-$AV$8))*AX22),""))</f>
        <v/>
      </c>
      <c r="AY23" s="1">
        <f>MAX(AW23:AX23)</f>
        <v/>
      </c>
      <c r="BA23">
        <f>BA22+1</f>
        <v/>
      </c>
      <c r="BB23" s="1" t="n">
        <v>6</v>
      </c>
      <c r="BD23">
        <f>IF(BA23&lt;$B$4,BD24*BB23/BB24,IF(BA23&gt;$B$5,BD22*BB23/BB22,VLOOKUP(BA23,$A$8:$D$119,4,FALSE)))</f>
        <v/>
      </c>
    </row>
    <row r="24">
      <c r="A24" s="2" t="n">
        <v>2004</v>
      </c>
      <c r="B24" s="5" t="n">
        <v>76.5</v>
      </c>
      <c r="D24" s="1">
        <f>IF(B24="",D23*C24/C23,B24)</f>
        <v/>
      </c>
      <c r="E24" s="10">
        <f>A24</f>
        <v/>
      </c>
      <c r="F24" s="11">
        <f>D24</f>
        <v/>
      </c>
      <c r="H24">
        <f>H23+1</f>
        <v/>
      </c>
      <c r="I24" t="n">
        <v>162.2665082166667</v>
      </c>
      <c r="J24" t="n">
        <v>117.7627533314268</v>
      </c>
      <c r="K24" s="1">
        <f>IF(I24="",K23*J24/J23,I24)</f>
        <v/>
      </c>
      <c r="L24" s="1">
        <f>K24*100/VLOOKUP(H24,$E$8:$F$71,2,FALSE)</f>
        <v/>
      </c>
      <c r="M24" s="10">
        <f>H24</f>
        <v/>
      </c>
      <c r="N24" s="11">
        <f>L24</f>
        <v/>
      </c>
      <c r="P24" s="6" t="n">
        <v>31382</v>
      </c>
      <c r="Q24" t="n">
        <v>682.9400000000001</v>
      </c>
      <c r="R24" t="n">
        <v>0.042</v>
      </c>
      <c r="S24" t="n">
        <v>1439.6</v>
      </c>
      <c r="T24" s="3" t="n">
        <v>0.0303</v>
      </c>
      <c r="U24" s="3" t="n"/>
      <c r="V24">
        <f>Q24/Q23+R23-1</f>
        <v/>
      </c>
      <c r="X24" t="n">
        <v>2002</v>
      </c>
      <c r="Y24" t="n">
        <v>128265</v>
      </c>
      <c r="Z24">
        <f>Y24/Y23-1</f>
        <v/>
      </c>
      <c r="AB24">
        <f>AB23+1</f>
        <v/>
      </c>
      <c r="AC24">
        <f>AVERAGE(Z24,V41)</f>
        <v/>
      </c>
      <c r="AD24">
        <f>(1+AC24)/(F23/F22)-1</f>
        <v/>
      </c>
      <c r="AE24" s="10">
        <f>AB24</f>
        <v/>
      </c>
      <c r="AF24" s="10">
        <f>AD24</f>
        <v/>
      </c>
      <c r="AG24" s="3" t="n"/>
      <c r="AH24">
        <f>AH23+1</f>
        <v/>
      </c>
      <c r="AI24" t="n">
        <v>9.259166666666667</v>
      </c>
      <c r="AJ24" t="n">
        <v>16.66666666666667</v>
      </c>
      <c r="AK24">
        <f>(1+AI24/100)/($F31/$F30)-1</f>
        <v/>
      </c>
      <c r="AL24">
        <f>(1+AJ24/100)/($F31/$F30)-1</f>
        <v/>
      </c>
      <c r="AM24" s="10">
        <f>AH24</f>
        <v/>
      </c>
      <c r="AN24" s="10">
        <f>AI24/100</f>
        <v/>
      </c>
      <c r="AO24" s="10">
        <f>AJ24/100</f>
        <v/>
      </c>
      <c r="AV24" t="n">
        <v>1964</v>
      </c>
      <c r="AW24" t="n">
        <v>29.4</v>
      </c>
      <c r="AX24">
        <f>IF(AND(AW25="",NOT(AW24="")),AW24,IF(AW24="",IF(AW23="",AX23*AX23/AX22,(AW23/$AW$8)^(1/(AV23-$AV$8))*AX23),""))</f>
        <v/>
      </c>
      <c r="AY24" s="1">
        <f>MAX(AW24:AX24)</f>
        <v/>
      </c>
      <c r="BA24">
        <f>BA23+1</f>
        <v/>
      </c>
      <c r="BB24" s="1" t="n">
        <v>6.2</v>
      </c>
      <c r="BD24">
        <f>IF(BA24&lt;$B$4,BD25*BB24/BB25,IF(BA24&gt;$B$5,BD23*BB24/BB23,VLOOKUP(BA24,$A$8:$D$119,4,FALSE)))</f>
        <v/>
      </c>
    </row>
    <row r="25">
      <c r="A25" s="2" t="n">
        <v>2005</v>
      </c>
      <c r="B25" s="5" t="n">
        <v>78.09999999999999</v>
      </c>
      <c r="D25" s="1">
        <f>IF(B25="",D24*C25/C24,B25)</f>
        <v/>
      </c>
      <c r="E25" s="10">
        <f>A25</f>
        <v/>
      </c>
      <c r="F25" s="11">
        <f>D25</f>
        <v/>
      </c>
      <c r="H25">
        <f>H24+1</f>
        <v/>
      </c>
      <c r="I25" t="n">
        <v>167.1718232</v>
      </c>
      <c r="J25" t="n">
        <v>121.1223164434535</v>
      </c>
      <c r="K25" s="1">
        <f>IF(I25="",K24*J25/J24,I25)</f>
        <v/>
      </c>
      <c r="L25" s="1">
        <f>K25*100/VLOOKUP(H25,$E$8:$F$71,2,FALSE)</f>
        <v/>
      </c>
      <c r="M25" s="10">
        <f>H25</f>
        <v/>
      </c>
      <c r="N25" s="11">
        <f>L25</f>
        <v/>
      </c>
      <c r="P25" s="6" t="n">
        <v>31747</v>
      </c>
      <c r="Q25" t="n">
        <v>835.48</v>
      </c>
      <c r="R25" t="n">
        <v>0.03989999773603198</v>
      </c>
      <c r="S25" t="n">
        <v>1637.8</v>
      </c>
      <c r="T25" s="3" t="n">
        <v>0.0287</v>
      </c>
      <c r="U25" s="3" t="n"/>
      <c r="V25">
        <f>S25/S24+T24-1</f>
        <v/>
      </c>
      <c r="X25" t="n">
        <v>2003</v>
      </c>
      <c r="Y25" t="n">
        <v>155627</v>
      </c>
      <c r="Z25">
        <f>Y25/Y24-1</f>
        <v/>
      </c>
      <c r="AB25">
        <f>AB24+1</f>
        <v/>
      </c>
      <c r="AC25">
        <f>AVERAGE(Z25,V42)</f>
        <v/>
      </c>
      <c r="AD25">
        <f>(1+AC25)/(F24/F23)-1</f>
        <v/>
      </c>
      <c r="AE25" s="10">
        <f>AB25</f>
        <v/>
      </c>
      <c r="AF25" s="10">
        <f>AD25</f>
        <v/>
      </c>
      <c r="AG25" s="3" t="n"/>
      <c r="AH25">
        <f>AH24+1</f>
        <v/>
      </c>
      <c r="AI25" t="n">
        <v>8.749999999999998</v>
      </c>
      <c r="AJ25" t="n">
        <v>16.93666666666666</v>
      </c>
      <c r="AK25">
        <f>(1+AI25/100)/($F32/$F31)-1</f>
        <v/>
      </c>
      <c r="AL25">
        <f>(1+AJ25/100)/($F32/$F31)-1</f>
        <v/>
      </c>
      <c r="AM25" s="10">
        <f>AH25</f>
        <v/>
      </c>
      <c r="AN25" s="10">
        <f>AI25/100</f>
        <v/>
      </c>
      <c r="AO25" s="10">
        <f>AJ25/100</f>
        <v/>
      </c>
      <c r="AV25" t="n">
        <v>1965</v>
      </c>
      <c r="AW25" t="n">
        <v>30</v>
      </c>
      <c r="AX25">
        <f>IF(AND(AW26="",NOT(AW25="")),AW25,IF(AW25="",IF(AW24="",AX24*AX24/AX23,(AW24/$AW$8)^(1/(AV24-$AV$8))*AX24),""))</f>
        <v/>
      </c>
      <c r="AY25" s="1">
        <f>MAX(AW25:AX25)</f>
        <v/>
      </c>
      <c r="BA25">
        <f>BA24+1</f>
        <v/>
      </c>
      <c r="BB25" s="1" t="n">
        <v>6.5</v>
      </c>
      <c r="BD25">
        <f>IF(BA25&lt;$B$4,BD26*BB25/BB26,IF(BA25&gt;$B$5,BD24*BB25/BB24,VLOOKUP(BA25,$A$8:$D$119,4,FALSE)))</f>
        <v/>
      </c>
    </row>
    <row r="26">
      <c r="A26" s="2" t="n">
        <v>2006</v>
      </c>
      <c r="B26" s="5" t="n">
        <v>79.90000000000001</v>
      </c>
      <c r="D26" s="1">
        <f>IF(B26="",D25*C26/C25,B26)</f>
        <v/>
      </c>
      <c r="E26" s="10">
        <f>A26</f>
        <v/>
      </c>
      <c r="F26" s="11">
        <f>D26</f>
        <v/>
      </c>
      <c r="H26">
        <f>H25+1</f>
        <v/>
      </c>
      <c r="I26" t="n">
        <v>172.51387895</v>
      </c>
      <c r="J26" t="n">
        <v>125.0157737026282</v>
      </c>
      <c r="K26" s="1">
        <f>IF(I26="",K25*J26/J25,I26)</f>
        <v/>
      </c>
      <c r="L26" s="1">
        <f>K26*100/VLOOKUP(H26,$E$8:$F$71,2,FALSE)</f>
        <v/>
      </c>
      <c r="M26" s="10">
        <f>H26</f>
        <v/>
      </c>
      <c r="N26" s="11">
        <f>L26</f>
        <v/>
      </c>
      <c r="P26" s="6" t="n">
        <v>32112</v>
      </c>
      <c r="Q26" t="n">
        <v>870.22</v>
      </c>
      <c r="R26" t="n">
        <v>0.04579999771724391</v>
      </c>
      <c r="S26" t="n">
        <v>1591.5</v>
      </c>
      <c r="T26" s="3" t="n">
        <v>0.0315</v>
      </c>
      <c r="U26" s="3" t="n"/>
      <c r="V26">
        <f>S26/S25+T25-1</f>
        <v/>
      </c>
      <c r="X26" t="n">
        <v>2004</v>
      </c>
      <c r="Y26" t="n">
        <v>180248</v>
      </c>
      <c r="Z26">
        <f>Y26/Y25-1</f>
        <v/>
      </c>
      <c r="AB26">
        <f>AB25+1</f>
        <v/>
      </c>
      <c r="AC26">
        <f>AVERAGE(Z26,V43)</f>
        <v/>
      </c>
      <c r="AD26">
        <f>(1+AC26)/(F25/F24)-1</f>
        <v/>
      </c>
      <c r="AE26" s="10">
        <f>AB26</f>
        <v/>
      </c>
      <c r="AF26" s="10">
        <f>AD26</f>
        <v/>
      </c>
      <c r="AG26" s="3" t="n"/>
      <c r="AH26">
        <f>AH25+1</f>
        <v/>
      </c>
      <c r="AI26" t="n">
        <v>7.438333333333333</v>
      </c>
      <c r="AJ26" t="n">
        <v>17.375</v>
      </c>
      <c r="AK26">
        <f>(1+AI26/100)/($F33/$F32)-1</f>
        <v/>
      </c>
      <c r="AL26">
        <f>(1+AJ26/100)/($F33/$F32)-1</f>
        <v/>
      </c>
      <c r="AM26" s="10">
        <f>AH26</f>
        <v/>
      </c>
      <c r="AN26" s="10">
        <f>AI26/100</f>
        <v/>
      </c>
      <c r="AO26" s="10">
        <f>AJ26/100</f>
        <v/>
      </c>
      <c r="AV26" t="n">
        <v>1966</v>
      </c>
      <c r="AW26" t="n">
        <v>30.5</v>
      </c>
      <c r="AX26">
        <f>IF(AND(AW27="",NOT(AW26="")),AW26,IF(AW26="",IF(AW25="",AX25*AX25/AX24,(AW25/$AW$8)^(1/(AV25-$AV$8))*AX25),""))</f>
        <v/>
      </c>
      <c r="AY26" s="1">
        <f>MAX(AW26:AX26)</f>
        <v/>
      </c>
      <c r="BA26">
        <f>BA25+1</f>
        <v/>
      </c>
      <c r="BB26" s="1" t="n">
        <v>6.8</v>
      </c>
      <c r="BD26">
        <f>IF(BA26&lt;$B$4,BD27*BB26/BB27,IF(BA26&gt;$B$5,BD25*BB26/BB25,VLOOKUP(BA26,$A$8:$D$119,4,FALSE)))</f>
        <v/>
      </c>
    </row>
    <row r="27">
      <c r="A27" s="2" t="n">
        <v>2007</v>
      </c>
      <c r="B27" s="5" t="n">
        <v>81.8</v>
      </c>
      <c r="D27" s="1">
        <f>IF(B27="",D26*C27/C26,B27)</f>
        <v/>
      </c>
      <c r="E27" s="10">
        <f>A27</f>
        <v/>
      </c>
      <c r="F27" s="11">
        <f>D27</f>
        <v/>
      </c>
      <c r="H27">
        <f>H26+1</f>
        <v/>
      </c>
      <c r="I27" t="n">
        <v>176.2262223109124</v>
      </c>
      <c r="J27" t="n">
        <v>139.8951383149704</v>
      </c>
      <c r="K27" s="1">
        <f>IF(I27="",K26*J27/J26,I27)</f>
        <v/>
      </c>
      <c r="L27" s="1">
        <f>K27*100/VLOOKUP(H27,$E$8:$F$71,2,FALSE)</f>
        <v/>
      </c>
      <c r="M27" s="10">
        <f>H27</f>
        <v/>
      </c>
      <c r="N27" s="11">
        <f>L27</f>
        <v/>
      </c>
      <c r="P27" s="6" t="n">
        <v>32478</v>
      </c>
      <c r="Q27" t="n">
        <v>926.59</v>
      </c>
      <c r="R27" t="n">
        <v>0.04579999999999999</v>
      </c>
      <c r="S27" t="n">
        <v>1785.7</v>
      </c>
      <c r="T27" s="3" t="n">
        <v>0.0353</v>
      </c>
      <c r="U27" s="3" t="n"/>
      <c r="V27">
        <f>S27/S26+T26-1</f>
        <v/>
      </c>
      <c r="X27" t="n">
        <v>2005</v>
      </c>
      <c r="Y27" t="n">
        <v>190760</v>
      </c>
      <c r="Z27">
        <f>Y27/Y26-1</f>
        <v/>
      </c>
      <c r="AB27">
        <f>AB26+1</f>
        <v/>
      </c>
      <c r="AC27">
        <f>AVERAGE(Z27,V44)</f>
        <v/>
      </c>
      <c r="AD27">
        <f>(1+AC27)/(F26/F25)-1</f>
        <v/>
      </c>
      <c r="AE27" s="10">
        <f>AB27</f>
        <v/>
      </c>
      <c r="AF27" s="10">
        <f>AD27</f>
        <v/>
      </c>
      <c r="AG27" s="3" t="n"/>
      <c r="AH27">
        <f>AH26+1</f>
        <v/>
      </c>
      <c r="AI27" t="n">
        <v>6.03</v>
      </c>
      <c r="AJ27" t="n">
        <v>17.915</v>
      </c>
      <c r="AK27">
        <f>(1+AI27/100)/($F34/$F33)-1</f>
        <v/>
      </c>
      <c r="AL27">
        <f>(1+AJ27/100)/($F34/$F33)-1</f>
        <v/>
      </c>
      <c r="AM27" s="10">
        <f>AH27</f>
        <v/>
      </c>
      <c r="AN27" s="10">
        <f>AI27/100</f>
        <v/>
      </c>
      <c r="AO27" s="10">
        <f>AJ27/100</f>
        <v/>
      </c>
      <c r="AV27" t="n">
        <v>1967</v>
      </c>
      <c r="AW27" t="n">
        <v>31.3</v>
      </c>
      <c r="AX27">
        <f>IF(AND(AW28="",NOT(AW27="")),AW27,IF(AW27="",IF(AW26="",AX26*AX26/AX25,(AW26/$AW$8)^(1/(AV26-$AV$8))*AX26),""))</f>
        <v/>
      </c>
      <c r="AY27" s="1">
        <f>MAX(AW27:AX27)</f>
        <v/>
      </c>
      <c r="BA27">
        <f>BA26+1</f>
        <v/>
      </c>
      <c r="BB27" s="1" t="n">
        <v>7</v>
      </c>
      <c r="BD27">
        <f>IF(BA27&lt;$B$4,BD28*BB27/BB28,IF(BA27&gt;$B$5,BD26*BB27/BB26,VLOOKUP(BA27,$A$8:$D$119,4,FALSE)))</f>
        <v/>
      </c>
    </row>
    <row r="28">
      <c r="A28" s="2" t="n">
        <v>2008</v>
      </c>
      <c r="B28" s="5" t="n">
        <v>84.7</v>
      </c>
      <c r="C28" s="7" t="n">
        <v>85.3565</v>
      </c>
      <c r="D28" s="1">
        <f>IF(B28="",D27*C28/C27,B28)</f>
        <v/>
      </c>
      <c r="E28" s="10">
        <f>A28</f>
        <v/>
      </c>
      <c r="F28" s="11">
        <f>D28</f>
        <v/>
      </c>
      <c r="H28">
        <f>H27+1</f>
        <v/>
      </c>
      <c r="I28" t="n">
        <v>187.9925040218215</v>
      </c>
      <c r="J28" t="n">
        <v>134.8023040353329</v>
      </c>
      <c r="K28" s="1">
        <f>IF(I28="",K27*J28/J27,I28)</f>
        <v/>
      </c>
      <c r="L28" s="1">
        <f>K28*100/VLOOKUP(H28,$E$8:$F$71,2,FALSE)</f>
        <v/>
      </c>
      <c r="M28" s="10">
        <f>H28</f>
        <v/>
      </c>
      <c r="N28" s="11">
        <f>L28</f>
        <v/>
      </c>
      <c r="P28" s="6" t="n">
        <v>32843</v>
      </c>
      <c r="Q28" t="n">
        <v>1204.7</v>
      </c>
      <c r="R28" t="n">
        <v>0.04179999542201378</v>
      </c>
      <c r="S28" t="n">
        <v>2297.3</v>
      </c>
      <c r="T28" s="3" t="n">
        <v>0.0318</v>
      </c>
      <c r="U28" s="3" t="n"/>
      <c r="V28">
        <f>S28/S27+T27-1</f>
        <v/>
      </c>
      <c r="X28" t="n">
        <v>2006</v>
      </c>
      <c r="Y28" t="n">
        <v>204813</v>
      </c>
      <c r="Z28">
        <f>Y28/Y27-1</f>
        <v/>
      </c>
      <c r="AB28">
        <f>AB27+1</f>
        <v/>
      </c>
      <c r="AC28">
        <f>AVERAGE(Z28,V45)</f>
        <v/>
      </c>
      <c r="AD28">
        <f>(1+AC28)/(F27/F26)-1</f>
        <v/>
      </c>
      <c r="AE28" s="10">
        <f>AB28</f>
        <v/>
      </c>
      <c r="AF28" s="10">
        <f>AD28</f>
        <v/>
      </c>
      <c r="AG28" s="3" t="n"/>
      <c r="AH28">
        <f>AH27+1</f>
        <v/>
      </c>
      <c r="AI28" t="n">
        <v>4.98</v>
      </c>
      <c r="AJ28" t="n">
        <v>17.57666666666667</v>
      </c>
      <c r="AK28">
        <f>(1+AI28/100)/($F35/$F34)-1</f>
        <v/>
      </c>
      <c r="AL28">
        <f>(1+AJ28/100)/($F35/$F34)-1</f>
        <v/>
      </c>
      <c r="AM28" s="10">
        <f>AH28</f>
        <v/>
      </c>
      <c r="AN28" s="10">
        <f>AI28/100</f>
        <v/>
      </c>
      <c r="AO28" s="10">
        <f>AJ28/100</f>
        <v/>
      </c>
      <c r="AV28" t="n">
        <v>1968</v>
      </c>
      <c r="AW28" t="n">
        <v>33</v>
      </c>
      <c r="AX28">
        <f>IF(AND(AW29="",NOT(AW28="")),AW28,IF(AW28="",IF(AW27="",AX27*AX27/AX26,(AW27/$AW$8)^(1/(AV27-$AV$8))*AX27),""))</f>
        <v/>
      </c>
      <c r="AY28" s="1">
        <f>MAX(AW28:AX28)</f>
        <v/>
      </c>
      <c r="BA28">
        <f>BA27+1</f>
        <v/>
      </c>
      <c r="BB28" s="1" t="n">
        <v>7.4</v>
      </c>
      <c r="BD28">
        <f>IF(BA28&lt;$B$4,BD29*BB28/BB29,IF(BA28&gt;$B$5,BD27*BB28/BB27,VLOOKUP(BA28,$A$8:$D$119,4,FALSE)))</f>
        <v/>
      </c>
      <c r="BE28">
        <f>$BD$75/BD28</f>
        <v/>
      </c>
      <c r="BF28" t="inlineStr">
        <is>
          <t>\ ///</t>
        </is>
      </c>
      <c r="BG28">
        <f>BA28</f>
        <v/>
      </c>
    </row>
    <row r="29">
      <c r="A29" s="2" t="n">
        <v>2009</v>
      </c>
      <c r="B29" s="5" t="n">
        <v>86.59999999999999</v>
      </c>
      <c r="C29" s="7" t="n">
        <v>87.26741666666668</v>
      </c>
      <c r="D29" s="1">
        <f>IF(B29="",D28*C29/C28,B29)</f>
        <v/>
      </c>
      <c r="E29" s="10">
        <f>A29</f>
        <v/>
      </c>
      <c r="F29" s="11">
        <f>D29</f>
        <v/>
      </c>
      <c r="H29" t="n">
        <v>2022</v>
      </c>
      <c r="I29" t="n">
        <v>197.4066489559123</v>
      </c>
      <c r="J29" t="n">
        <v>142.1194518978835</v>
      </c>
      <c r="K29" s="1">
        <f>IF(I29="",K28*J29/J28,I29)</f>
        <v/>
      </c>
      <c r="L29" s="1">
        <f>K29*100/VLOOKUP(H29,$E$8:$F$71,2,FALSE)</f>
        <v/>
      </c>
      <c r="M29" s="10">
        <f>H29</f>
        <v/>
      </c>
      <c r="N29" s="11">
        <f>L29</f>
        <v/>
      </c>
      <c r="P29" s="6" t="n">
        <v>33208</v>
      </c>
      <c r="Q29" t="n">
        <v>1032.25</v>
      </c>
      <c r="R29" t="n">
        <v>0.0528</v>
      </c>
      <c r="S29" t="n">
        <v>2159.7</v>
      </c>
      <c r="T29" s="3" t="n">
        <v>0.04099999999999999</v>
      </c>
      <c r="U29" s="3" t="n"/>
      <c r="V29">
        <f>S29/S28+T28-1</f>
        <v/>
      </c>
      <c r="X29" t="n">
        <v>2007</v>
      </c>
      <c r="Y29" t="n">
        <v>223405</v>
      </c>
      <c r="Z29">
        <f>Y29/Y28-1</f>
        <v/>
      </c>
      <c r="AB29">
        <f>AB28+1</f>
        <v/>
      </c>
      <c r="AC29">
        <f>AVERAGE(Z29,V46)</f>
        <v/>
      </c>
      <c r="AD29">
        <f>(1+AC29)/(F28/F27)-1</f>
        <v/>
      </c>
      <c r="AE29" s="10">
        <f>AB29</f>
        <v/>
      </c>
      <c r="AF29" s="10">
        <f>AD29</f>
        <v/>
      </c>
      <c r="AG29" s="3" t="n"/>
      <c r="AH29">
        <f>AH28+1</f>
        <v/>
      </c>
      <c r="AI29" t="n">
        <v>4.331666666666667</v>
      </c>
      <c r="AJ29" t="n">
        <v>17.91333333333333</v>
      </c>
      <c r="AK29">
        <f>(1+AI29/100)/($F36/$F35)-1</f>
        <v/>
      </c>
      <c r="AL29">
        <f>(1+AJ29/100)/($F36/$F35)-1</f>
        <v/>
      </c>
      <c r="AM29" s="10">
        <f>AH29</f>
        <v/>
      </c>
      <c r="AN29" s="10">
        <f>AI29/100</f>
        <v/>
      </c>
      <c r="AO29" s="10">
        <f>AJ29/100</f>
        <v/>
      </c>
      <c r="AV29" t="n">
        <v>1969</v>
      </c>
      <c r="AW29" t="n">
        <v>33.6</v>
      </c>
      <c r="AX29">
        <f>IF(AND(AW30="",NOT(AW29="")),AW29,IF(AW29="",IF(AW28="",AX28*AX28/AX27,(AW28/$AW$8)^(1/(AV28-$AV$8))*AX28),""))</f>
        <v/>
      </c>
      <c r="AY29" s="1">
        <f>MAX(AW29:AX29)</f>
        <v/>
      </c>
      <c r="BA29">
        <f>BA28+1</f>
        <v/>
      </c>
      <c r="BB29" s="1" t="n">
        <v>7.8</v>
      </c>
      <c r="BD29">
        <f>IF(BA29&lt;$B$4,BD30*BB29/BB30,IF(BA29&gt;$B$5,BD28*BB29/BB28,VLOOKUP(BA29,$A$8:$D$119,4,FALSE)))</f>
        <v/>
      </c>
      <c r="BE29">
        <f>$BD$75/BD29</f>
        <v/>
      </c>
      <c r="BF29" t="inlineStr">
        <is>
          <t>\ ///</t>
        </is>
      </c>
      <c r="BG29">
        <f>BA29</f>
        <v/>
      </c>
    </row>
    <row r="30">
      <c r="A30" s="2" t="n">
        <v>2010</v>
      </c>
      <c r="B30" s="5" t="n">
        <v>89.40000000000001</v>
      </c>
      <c r="C30" s="7" t="n">
        <v>90.33158333333333</v>
      </c>
      <c r="D30" s="1">
        <f>IF(B30="",D29*C30/C29,B30)</f>
        <v/>
      </c>
      <c r="E30" s="10">
        <f>A30</f>
        <v/>
      </c>
      <c r="F30" s="11">
        <f>D30</f>
        <v/>
      </c>
      <c r="H30">
        <f>H29+1</f>
        <v/>
      </c>
      <c r="J30" t="n">
        <v>147.7970415335594</v>
      </c>
      <c r="K30" s="1">
        <f>IF(I30="",K29*J30/J29,I30)</f>
        <v/>
      </c>
      <c r="L30" s="1">
        <f>K30*100/VLOOKUP(H30,$E$8:$F$71,2,FALSE)</f>
        <v/>
      </c>
      <c r="M30" s="10">
        <f>H30</f>
        <v/>
      </c>
      <c r="N30" s="11">
        <f>L30</f>
        <v/>
      </c>
      <c r="P30" s="6" t="n">
        <v>33573</v>
      </c>
      <c r="Q30" t="n">
        <v>1187.7</v>
      </c>
      <c r="R30" t="n">
        <v>0.0517</v>
      </c>
      <c r="S30" t="n">
        <v>2412.4</v>
      </c>
      <c r="T30" s="3" t="n">
        <v>0.0377</v>
      </c>
      <c r="U30" s="3" t="n"/>
      <c r="V30">
        <f>S30/S29+T29-1</f>
        <v/>
      </c>
      <c r="X30" t="n">
        <v>2008</v>
      </c>
      <c r="Y30" t="n">
        <v>227765</v>
      </c>
      <c r="Z30">
        <f>Y30/Y29-1</f>
        <v/>
      </c>
      <c r="AB30">
        <f>AB29+1</f>
        <v/>
      </c>
      <c r="AC30">
        <f>AVERAGE(Z30,V47)</f>
        <v/>
      </c>
      <c r="AD30">
        <f>(1+AC30)/(F29/F28)-1</f>
        <v/>
      </c>
      <c r="AE30" s="10">
        <f>AB30</f>
        <v/>
      </c>
      <c r="AF30" s="10">
        <f>AD30</f>
        <v/>
      </c>
      <c r="AG30" s="3" t="n"/>
      <c r="AH30">
        <f>AH29+1</f>
        <v/>
      </c>
      <c r="AI30" t="n">
        <v>3.968333333333333</v>
      </c>
      <c r="AJ30" t="n">
        <v>17.95083333333334</v>
      </c>
      <c r="AK30">
        <f>(1+AI30/100)/($F37/$F36)-1</f>
        <v/>
      </c>
      <c r="AL30">
        <f>(1+AJ30/100)/($F37/$F36)-1</f>
        <v/>
      </c>
      <c r="AM30" s="10">
        <f>AH30</f>
        <v/>
      </c>
      <c r="AN30" s="10">
        <f>AI30/100</f>
        <v/>
      </c>
      <c r="AO30" s="10">
        <f>AJ30/100</f>
        <v/>
      </c>
      <c r="AV30" t="n">
        <v>1970</v>
      </c>
      <c r="AW30" t="n">
        <v>34.5</v>
      </c>
      <c r="AX30">
        <f>IF(AND(AW31="",NOT(AW30="")),AW30,IF(AW30="",IF(AW29="",AX29*AX29/AX28,(AW29/$AW$8)^(1/(AV29-$AV$8))*AX29),""))</f>
        <v/>
      </c>
      <c r="AY30" s="1">
        <f>MAX(AW30:AX30)</f>
        <v/>
      </c>
      <c r="BA30">
        <f>BA29+1</f>
        <v/>
      </c>
      <c r="BB30" s="1" t="n">
        <v>8.300000000000001</v>
      </c>
      <c r="BD30">
        <f>IF(BA30&lt;$B$4,BD31*BB30/BB31,IF(BA30&gt;$B$5,BD29*BB30/BB29,VLOOKUP(BA30,$A$8:$D$119,4,FALSE)))</f>
        <v/>
      </c>
      <c r="BE30">
        <f>$BD$75/BD30</f>
        <v/>
      </c>
      <c r="BF30" t="inlineStr">
        <is>
          <t>\ ///</t>
        </is>
      </c>
      <c r="BG30">
        <f>BA30</f>
        <v/>
      </c>
    </row>
    <row r="31">
      <c r="A31" s="2" t="n">
        <v>2011</v>
      </c>
      <c r="B31" s="5" t="n">
        <v>93.40000000000001</v>
      </c>
      <c r="C31" s="7" t="n">
        <v>94.21633333333332</v>
      </c>
      <c r="D31" s="1">
        <f>IF(B31="",D30*C31/C30,B31)</f>
        <v/>
      </c>
      <c r="E31" s="10">
        <f>A31</f>
        <v/>
      </c>
      <c r="F31" s="11">
        <f>D31</f>
        <v/>
      </c>
      <c r="H31">
        <f>H30+1</f>
        <v/>
      </c>
      <c r="J31" t="n">
        <v>149.4592615301015</v>
      </c>
      <c r="K31" s="1">
        <f>IF(I31="",K30*J31/J30,I31)</f>
        <v/>
      </c>
      <c r="L31" s="1">
        <f>K31*100/VLOOKUP(H31,$E$8:$F$71,2,FALSE)</f>
        <v/>
      </c>
      <c r="M31" s="10">
        <f>H31</f>
        <v/>
      </c>
      <c r="N31" s="11">
        <f>L31</f>
        <v/>
      </c>
      <c r="P31" s="6" t="n">
        <v>33939</v>
      </c>
      <c r="Q31" t="n">
        <v>1363.79</v>
      </c>
      <c r="R31" t="n">
        <v>0.0447</v>
      </c>
      <c r="S31" t="n">
        <v>2772</v>
      </c>
      <c r="T31" s="3" t="n">
        <v>0.0326</v>
      </c>
      <c r="U31" s="3" t="n"/>
      <c r="V31">
        <f>S31/S30+T30-1</f>
        <v/>
      </c>
      <c r="X31" t="n">
        <v>2009</v>
      </c>
      <c r="Y31" t="n">
        <v>226064</v>
      </c>
      <c r="Z31">
        <f>Y31/Y30-1</f>
        <v/>
      </c>
      <c r="AB31">
        <f>AB30+1</f>
        <v/>
      </c>
      <c r="AC31">
        <f>AVERAGE(Z31,V48)</f>
        <v/>
      </c>
      <c r="AD31">
        <f>(1+AC31)/(F30/F29)-1</f>
        <v/>
      </c>
      <c r="AE31" s="10">
        <f>AB31</f>
        <v/>
      </c>
      <c r="AF31" s="10">
        <f>AD31</f>
        <v/>
      </c>
      <c r="AG31" s="3" t="n"/>
      <c r="AH31">
        <f>AH30+1</f>
        <v/>
      </c>
      <c r="AI31" t="n">
        <v>3.799166666666666</v>
      </c>
      <c r="AJ31" t="n">
        <v>17.94416666666667</v>
      </c>
      <c r="AK31">
        <f>(1+AI31/100)/($F38/$F37)-1</f>
        <v/>
      </c>
      <c r="AL31">
        <f>(1+AJ31/100)/($F38/$F37)-1</f>
        <v/>
      </c>
      <c r="AM31" s="10">
        <f>AH31</f>
        <v/>
      </c>
      <c r="AN31" s="10">
        <f>AI31/100</f>
        <v/>
      </c>
      <c r="AO31" s="10">
        <f>AJ31/100</f>
        <v/>
      </c>
      <c r="AV31" t="n">
        <v>1971</v>
      </c>
      <c r="AW31" t="n">
        <v>35.8</v>
      </c>
      <c r="AX31">
        <f>IF(AND(AW32="",NOT(AW31="")),AW31,IF(AW31="",IF(AW30="",AX30*AX30/AX29,(AW30/$AW$8)^(1/(AV30-$AV$8))*AX30),""))</f>
        <v/>
      </c>
      <c r="AY31" s="1">
        <f>MAX(AW31:AX31)</f>
        <v/>
      </c>
      <c r="BA31">
        <f>BA30+1</f>
        <v/>
      </c>
      <c r="BB31" s="1" t="n">
        <v>9.1</v>
      </c>
      <c r="BD31">
        <f>IF(BA31&lt;$B$4,BD32*BB31/BB32,IF(BA31&gt;$B$5,BD30*BB31/BB30,VLOOKUP(BA31,$A$8:$D$119,4,FALSE)))</f>
        <v/>
      </c>
      <c r="BE31">
        <f>$BD$75/BD31</f>
        <v/>
      </c>
      <c r="BF31" t="inlineStr">
        <is>
          <t>\ ///</t>
        </is>
      </c>
      <c r="BG31">
        <f>BA31</f>
        <v/>
      </c>
    </row>
    <row r="32">
      <c r="A32" s="2" t="n">
        <v>2012</v>
      </c>
      <c r="B32" s="5" t="n">
        <v>96.09999999999999</v>
      </c>
      <c r="C32" s="7" t="n">
        <v>96.71666666666667</v>
      </c>
      <c r="D32" s="1">
        <f>IF(B32="",D31*C32/C31,B32)</f>
        <v/>
      </c>
      <c r="E32" s="10">
        <f>A32</f>
        <v/>
      </c>
      <c r="F32" s="11">
        <f>D32</f>
        <v/>
      </c>
      <c r="H32">
        <f>H31+1</f>
        <v/>
      </c>
      <c r="J32" t="n">
        <v>151.6881279954545</v>
      </c>
      <c r="K32" s="1">
        <f>IF(I32="",K31*J32/J31,I32)</f>
        <v/>
      </c>
      <c r="L32" s="1">
        <f>K32*100/VLOOKUP(H32,$E$8:$F$71,2,FALSE)</f>
        <v/>
      </c>
      <c r="M32" s="10">
        <f>H32</f>
        <v/>
      </c>
      <c r="N32" s="11">
        <f>L32</f>
        <v/>
      </c>
      <c r="P32" s="6" t="n">
        <v>34304</v>
      </c>
      <c r="Q32" t="n">
        <v>1682.17</v>
      </c>
      <c r="R32" t="n">
        <v>0.0349</v>
      </c>
      <c r="S32" t="n">
        <v>3197</v>
      </c>
      <c r="T32" s="3" t="n">
        <v>0.0261</v>
      </c>
      <c r="U32" s="3" t="n"/>
      <c r="V32">
        <f>S32/S31+T31-1</f>
        <v/>
      </c>
      <c r="X32" t="n">
        <v>2010</v>
      </c>
      <c r="Y32" t="n">
        <v>251174</v>
      </c>
      <c r="Z32">
        <f>Y32/Y31-1</f>
        <v/>
      </c>
      <c r="AB32">
        <f>AB31+1</f>
        <v/>
      </c>
      <c r="AC32">
        <f>AVERAGE(Z32,V49)</f>
        <v/>
      </c>
      <c r="AD32">
        <f>(1+AC32)/(F31/F30)-1</f>
        <v/>
      </c>
      <c r="AE32" s="10">
        <f>AB32</f>
        <v/>
      </c>
      <c r="AF32" s="10">
        <f>AD32</f>
        <v/>
      </c>
      <c r="AG32" s="3" t="n"/>
      <c r="AH32">
        <f>AH31+1</f>
        <v/>
      </c>
      <c r="AI32" t="n">
        <v>3.769166666666667</v>
      </c>
      <c r="AJ32" t="n">
        <v>18.66666666666666</v>
      </c>
      <c r="AK32">
        <f>(1+AI32/100)/($F39/$F38)-1</f>
        <v/>
      </c>
      <c r="AL32">
        <f>(1+AJ32/100)/($F39/$F38)-1</f>
        <v/>
      </c>
      <c r="AM32" s="10">
        <f>AH32</f>
        <v/>
      </c>
      <c r="AN32" s="10">
        <f>AI32/100</f>
        <v/>
      </c>
      <c r="AO32" s="10">
        <f>AJ32/100</f>
        <v/>
      </c>
      <c r="AV32" t="n">
        <v>1972</v>
      </c>
      <c r="AW32" t="n">
        <v>37.3</v>
      </c>
      <c r="AX32">
        <f>IF(AND(AW33="",NOT(AW32="")),AW32,IF(AW32="",IF(AW31="",AX31*AX31/AX30,(AW31/$AW$8)^(1/(AV31-$AV$8))*AX31),""))</f>
        <v/>
      </c>
      <c r="AY32" s="1">
        <f>MAX(AW32:AX32)</f>
        <v/>
      </c>
      <c r="BA32">
        <f>BA31+1</f>
        <v/>
      </c>
      <c r="BB32" s="1" t="n">
        <v>9.699999999999999</v>
      </c>
      <c r="BD32">
        <f>IF(BA32&lt;$B$4,BD33*BB32/BB33,IF(BA32&gt;$B$5,BD31*BB32/BB31,VLOOKUP(BA32,$A$8:$D$119,4,FALSE)))</f>
        <v/>
      </c>
      <c r="BE32">
        <f>$BD$75/BD32</f>
        <v/>
      </c>
      <c r="BF32" t="inlineStr">
        <is>
          <t>\ ///</t>
        </is>
      </c>
      <c r="BG32">
        <f>BA32</f>
        <v/>
      </c>
    </row>
    <row r="33">
      <c r="A33" s="2" t="n">
        <v>2013</v>
      </c>
      <c r="B33" s="5" t="n">
        <v>98.5</v>
      </c>
      <c r="C33" s="7" t="n">
        <v>98.94533333333332</v>
      </c>
      <c r="D33" s="1">
        <f>IF(B33="",D32*C33/C32,B33)</f>
        <v/>
      </c>
      <c r="E33" s="10">
        <f>A33</f>
        <v/>
      </c>
      <c r="F33" s="11">
        <f>D33</f>
        <v/>
      </c>
      <c r="H33">
        <f>H32+1</f>
        <v/>
      </c>
      <c r="J33" t="n">
        <v>154.7551374507793</v>
      </c>
      <c r="K33" s="1">
        <f>IF(I33="",K32*J33/J32,I33)</f>
        <v/>
      </c>
      <c r="L33" s="1">
        <f>K33*100/VLOOKUP(H33,$E$8:$F$71,2,FALSE)</f>
        <v/>
      </c>
      <c r="M33" s="10">
        <f>H33</f>
        <v/>
      </c>
      <c r="N33" s="11">
        <f>L33</f>
        <v/>
      </c>
      <c r="P33" s="6" t="n">
        <v>34669</v>
      </c>
      <c r="Q33" t="n">
        <v>1521.44</v>
      </c>
      <c r="R33" t="n">
        <v>0.0408</v>
      </c>
      <c r="S33" t="n">
        <v>3079.6</v>
      </c>
      <c r="T33" s="3" t="n">
        <v>0.0322</v>
      </c>
      <c r="U33" s="3" t="n"/>
      <c r="V33">
        <f>S33/S32+T32-1</f>
        <v/>
      </c>
      <c r="X33" t="n">
        <v>2011</v>
      </c>
      <c r="Y33" t="n">
        <v>245319</v>
      </c>
      <c r="Z33">
        <f>Y33/Y32-1</f>
        <v/>
      </c>
      <c r="AB33">
        <f>AB32+1</f>
        <v/>
      </c>
      <c r="AC33">
        <f>AVERAGE(Z33,V50)</f>
        <v/>
      </c>
      <c r="AD33">
        <f>(1+AC33)/(F32/F31)-1</f>
        <v/>
      </c>
      <c r="AE33" s="10">
        <f>AB33</f>
        <v/>
      </c>
      <c r="AF33" s="10">
        <f>AD33</f>
        <v/>
      </c>
      <c r="AG33" s="3" t="n"/>
      <c r="AH33">
        <f>AH32+1</f>
        <v/>
      </c>
      <c r="AI33" t="n">
        <v>3.614166666666666</v>
      </c>
      <c r="AJ33" t="n">
        <v>20.24833333333333</v>
      </c>
      <c r="AK33">
        <f>(1+AI33/100)/($F40/$F39)-1</f>
        <v/>
      </c>
      <c r="AL33">
        <f>(1+AJ33/100)/($F40/$F39)-1</f>
        <v/>
      </c>
      <c r="AM33" s="10">
        <f>AH33</f>
        <v/>
      </c>
      <c r="AN33" s="10">
        <f>AI33/100</f>
        <v/>
      </c>
      <c r="AO33" s="10">
        <f>AJ33/100</f>
        <v/>
      </c>
      <c r="AV33" t="n">
        <v>1973</v>
      </c>
      <c r="AW33" t="n">
        <v>39.8</v>
      </c>
      <c r="AX33">
        <f>IF(AND(AW34="",NOT(AW33="")),AW33,IF(AW33="",IF(AW32="",AX32*AX32/AX31,(AW32/$AW$8)^(1/(AV32-$AV$8))*AX32),""))</f>
        <v/>
      </c>
      <c r="AY33" s="1">
        <f>MAX(AW33:AX33)</f>
        <v/>
      </c>
      <c r="BA33">
        <f>BA32+1</f>
        <v/>
      </c>
      <c r="BB33" s="1" t="n">
        <v>10.6</v>
      </c>
      <c r="BD33">
        <f>IF(BA33&lt;$B$4,BD34*BB33/BB34,IF(BA33&gt;$B$5,BD32*BB33/BB32,VLOOKUP(BA33,$A$8:$D$119,4,FALSE)))</f>
        <v/>
      </c>
      <c r="BE33">
        <f>$BD$75/BD33</f>
        <v/>
      </c>
      <c r="BF33" t="inlineStr">
        <is>
          <t>\ ///</t>
        </is>
      </c>
      <c r="BG33">
        <f>BA33</f>
        <v/>
      </c>
    </row>
    <row r="34">
      <c r="A34" s="2" t="n">
        <v>2014</v>
      </c>
      <c r="B34" s="5" t="n">
        <v>100</v>
      </c>
      <c r="C34" s="7" t="n">
        <v>99.98500000000001</v>
      </c>
      <c r="D34" s="1">
        <f>IF(B34="",D33*C34/C33,B34)</f>
        <v/>
      </c>
      <c r="E34" s="10">
        <f>A34</f>
        <v/>
      </c>
      <c r="F34" s="11">
        <f>D34</f>
        <v/>
      </c>
      <c r="H34">
        <f>H33+1</f>
        <v/>
      </c>
      <c r="J34" t="n">
        <v>158.6016728178259</v>
      </c>
      <c r="K34" s="1">
        <f>IF(I34="",K33*J34/J33,I34)</f>
        <v/>
      </c>
      <c r="L34" s="1">
        <f>K34*100/VLOOKUP(H34,$E$8:$F$71,2,FALSE)</f>
        <v/>
      </c>
      <c r="M34" s="10">
        <f>H34</f>
        <v/>
      </c>
      <c r="N34" s="11">
        <f>L34</f>
        <v/>
      </c>
      <c r="P34" s="6" t="n">
        <v>35034</v>
      </c>
      <c r="Q34" t="n">
        <v>1802.56</v>
      </c>
      <c r="R34" t="n">
        <v>0.0382</v>
      </c>
      <c r="S34" t="n">
        <v>3667.5</v>
      </c>
      <c r="T34" s="3" t="n">
        <v>0.0304</v>
      </c>
      <c r="U34" s="3" t="n"/>
      <c r="V34">
        <f>S34/S33+T33-1</f>
        <v/>
      </c>
      <c r="X34" t="n">
        <v>2012</v>
      </c>
      <c r="Y34" t="n">
        <v>246032</v>
      </c>
      <c r="Z34">
        <f>Y34/Y33-1</f>
        <v/>
      </c>
      <c r="AB34">
        <f>AB33+1</f>
        <v/>
      </c>
      <c r="AC34">
        <f>AVERAGE(Z34,V51)</f>
        <v/>
      </c>
      <c r="AD34">
        <f>(1+AC34)/(F33/F32)-1</f>
        <v/>
      </c>
      <c r="AE34" s="10">
        <f>AB34</f>
        <v/>
      </c>
      <c r="AF34" s="10">
        <f>AD34</f>
        <v/>
      </c>
      <c r="AG34" s="3" t="n"/>
      <c r="AH34">
        <f>AH33+1</f>
        <v/>
      </c>
      <c r="AI34" t="n">
        <v>3.546666666666666</v>
      </c>
      <c r="AJ34" t="n">
        <v>20.79</v>
      </c>
      <c r="AK34">
        <f>(1+AI34/100)/($F41/$F40)-1</f>
        <v/>
      </c>
      <c r="AL34">
        <f>(1+AJ34/100)/($F41/$F40)-1</f>
        <v/>
      </c>
      <c r="AM34" s="10">
        <f>AH34</f>
        <v/>
      </c>
      <c r="AN34" s="10">
        <f>AI34/100</f>
        <v/>
      </c>
      <c r="AO34" s="10">
        <f>AJ34/100</f>
        <v/>
      </c>
      <c r="AV34" t="n">
        <v>1974</v>
      </c>
      <c r="AW34" t="n">
        <v>38.8</v>
      </c>
      <c r="AX34">
        <f>IF(AND(AW35="",NOT(AW34="")),AW34,IF(AW34="",IF(AW33="",AX33*AX33/AX32,(AW33/$AW$8)^(1/(AV33-$AV$8))*AX33),""))</f>
        <v/>
      </c>
      <c r="AY34" s="1">
        <f>MAX(AW34:AX34)</f>
        <v/>
      </c>
      <c r="BA34">
        <f>BA33+1</f>
        <v/>
      </c>
      <c r="BB34" s="1" t="n">
        <v>12.6</v>
      </c>
      <c r="BD34">
        <f>IF(BA34&lt;$B$4,BD35*BB34/BB35,IF(BA34&gt;$B$5,BD33*BB34/BB33,VLOOKUP(BA34,$A$8:$D$119,4,FALSE)))</f>
        <v/>
      </c>
      <c r="BE34">
        <f>$BD$75/BD34</f>
        <v/>
      </c>
      <c r="BF34" t="inlineStr">
        <is>
          <t>\ ///</t>
        </is>
      </c>
      <c r="BG34">
        <f>BA34</f>
        <v/>
      </c>
    </row>
    <row r="35">
      <c r="A35" s="2" t="n">
        <v>2015</v>
      </c>
      <c r="B35" s="5" t="n">
        <v>100</v>
      </c>
      <c r="C35" s="7" t="n">
        <v>100.0863333333333</v>
      </c>
      <c r="D35" s="1">
        <f>IF(B35="",D34*C35/C34,B35)</f>
        <v/>
      </c>
      <c r="E35" s="10">
        <f>A35</f>
        <v/>
      </c>
      <c r="F35" s="11">
        <f>D35</f>
        <v/>
      </c>
      <c r="M35" s="10">
        <f>M34+1</f>
        <v/>
      </c>
      <c r="N35" s="11">
        <f>N34*L6</f>
        <v/>
      </c>
      <c r="P35" s="6" t="n">
        <v>35400</v>
      </c>
      <c r="Q35" t="n">
        <v>2013.66</v>
      </c>
      <c r="R35" t="n">
        <v>0.0409</v>
      </c>
      <c r="S35" t="n">
        <v>4055.9</v>
      </c>
      <c r="T35" s="3" t="n">
        <v>0.0299</v>
      </c>
      <c r="U35" s="3" t="n"/>
      <c r="V35">
        <f>S35/S34+T34-1</f>
        <v/>
      </c>
      <c r="X35" t="n">
        <v>2013</v>
      </c>
      <c r="Y35" t="n">
        <v>250768</v>
      </c>
      <c r="Z35">
        <f>Y35/Y34-1</f>
        <v/>
      </c>
      <c r="AB35">
        <f>AB34+1</f>
        <v/>
      </c>
      <c r="AC35">
        <f>AVERAGE(Z35,V52)</f>
        <v/>
      </c>
      <c r="AD35">
        <f>(1+AC35)/(F34/F33)-1</f>
        <v/>
      </c>
      <c r="AE35" s="10">
        <f>AB35</f>
        <v/>
      </c>
      <c r="AF35" s="10">
        <f>AD35</f>
        <v/>
      </c>
      <c r="AG35" s="3" t="n"/>
      <c r="AH35">
        <f>AH34+1</f>
        <v/>
      </c>
      <c r="AI35" t="n">
        <v>3.826666666666667</v>
      </c>
      <c r="AJ35" t="n">
        <v>21.44</v>
      </c>
      <c r="AK35">
        <f>(1+AI35/100)/($F42/$F41)-1</f>
        <v/>
      </c>
      <c r="AL35">
        <f>(1+AJ35/100)/($F42/$F41)-1</f>
        <v/>
      </c>
      <c r="AM35" s="10">
        <f>AH35</f>
        <v/>
      </c>
      <c r="AN35" s="10">
        <f>AI35/100</f>
        <v/>
      </c>
      <c r="AO35" s="10">
        <f>AJ35/100</f>
        <v/>
      </c>
      <c r="AV35" t="n">
        <v>1975</v>
      </c>
      <c r="AW35" t="n">
        <v>38.2</v>
      </c>
      <c r="AX35">
        <f>IF(AND(AW36="",NOT(AW35="")),AW35,IF(AW35="",IF(AW34="",AX34*AX34/AX33,(AW34/$AW$8)^(1/(AV34-$AV$8))*AX34),""))</f>
        <v/>
      </c>
      <c r="AY35" s="1">
        <f>MAX(AW35:AX35)</f>
        <v/>
      </c>
      <c r="BA35">
        <f>BA34+1</f>
        <v/>
      </c>
      <c r="BB35" s="1" t="n">
        <v>15.5</v>
      </c>
      <c r="BD35">
        <f>IF(BA35&lt;$B$4,BD36*BB35/BB36,IF(BA35&gt;$B$5,BD34*BB35/BB34,VLOOKUP(BA35,$A$8:$D$119,4,FALSE)))</f>
        <v/>
      </c>
      <c r="BE35">
        <f>$BD$75/BD35</f>
        <v/>
      </c>
      <c r="BF35" t="inlineStr">
        <is>
          <t>\ ///</t>
        </is>
      </c>
      <c r="BG35">
        <f>BA35</f>
        <v/>
      </c>
    </row>
    <row r="36">
      <c r="A36" s="2" t="n">
        <v>2016</v>
      </c>
      <c r="B36" s="8" t="n">
        <v>100.7</v>
      </c>
      <c r="C36" s="7" t="n">
        <v>101.19475</v>
      </c>
      <c r="D36" s="1">
        <f>IF(B36="",D35*C36/C35,B36)</f>
        <v/>
      </c>
      <c r="E36" s="10">
        <f>A36</f>
        <v/>
      </c>
      <c r="F36" s="11">
        <f>D36</f>
        <v/>
      </c>
      <c r="P36" s="6" t="n">
        <v>35765</v>
      </c>
      <c r="Q36" t="n">
        <v>2411</v>
      </c>
      <c r="R36" t="n">
        <v>0.036</v>
      </c>
      <c r="S36" t="n">
        <v>4871.7</v>
      </c>
      <c r="T36" s="3" t="n">
        <v>0.0266</v>
      </c>
      <c r="U36" s="3" t="n"/>
      <c r="V36">
        <f>S36/S35+T35-1</f>
        <v/>
      </c>
      <c r="X36" t="n">
        <v>2014</v>
      </c>
      <c r="Y36" t="n">
        <v>267132</v>
      </c>
      <c r="Z36">
        <f>Y36/Y35-1</f>
        <v/>
      </c>
      <c r="AB36">
        <f>AB35+1</f>
        <v/>
      </c>
      <c r="AC36">
        <f>AVERAGE(Z36,V53)</f>
        <v/>
      </c>
      <c r="AD36">
        <f>(1+AC36)/(F35/F34)-1</f>
        <v/>
      </c>
      <c r="AE36" s="10">
        <f>AB36</f>
        <v/>
      </c>
      <c r="AF36" s="10">
        <f>AD36</f>
        <v/>
      </c>
      <c r="AG36" s="3" t="n"/>
      <c r="AM36" s="10">
        <f>AM35+1</f>
        <v/>
      </c>
      <c r="AN36" s="10">
        <f>AK6</f>
        <v/>
      </c>
      <c r="AO36" s="10">
        <f>AL6</f>
        <v/>
      </c>
      <c r="AV36" t="n">
        <v>1976</v>
      </c>
      <c r="AW36" t="n">
        <v>39.3</v>
      </c>
      <c r="AX36">
        <f>IF(AND(AW37="",NOT(AW36="")),AW36,IF(AW36="",IF(AW35="",AX35*AX35/AX34,(AW35/$AW$8)^(1/(AV35-$AV$8))*AX35),""))</f>
        <v/>
      </c>
      <c r="AY36" s="1">
        <f>MAX(AW36:AX36)</f>
        <v/>
      </c>
      <c r="BA36">
        <f>BA35+1</f>
        <v/>
      </c>
      <c r="BB36" s="1" t="n">
        <v>18</v>
      </c>
      <c r="BD36">
        <f>IF(BA36&lt;$B$4,BD37*BB36/BB37,IF(BA36&gt;$B$5,BD35*BB36/BB35,VLOOKUP(BA36,$A$8:$D$119,4,FALSE)))</f>
        <v/>
      </c>
      <c r="BE36">
        <f>$BD$75/BD36</f>
        <v/>
      </c>
      <c r="BF36" t="inlineStr">
        <is>
          <t>\ ///</t>
        </is>
      </c>
      <c r="BG36">
        <f>BA36</f>
        <v/>
      </c>
    </row>
    <row r="37">
      <c r="A37" s="2" t="n">
        <v>2017</v>
      </c>
      <c r="B37" s="9" t="n">
        <v>103.4</v>
      </c>
      <c r="C37" s="7" t="n">
        <v>104.0534166666667</v>
      </c>
      <c r="D37" s="1">
        <f>IF(B37="",D36*C37/C36,B37)</f>
        <v/>
      </c>
      <c r="E37" s="10">
        <f>A37</f>
        <v/>
      </c>
      <c r="F37" s="11">
        <f>D37</f>
        <v/>
      </c>
      <c r="P37" s="6" t="n">
        <v>36130</v>
      </c>
      <c r="Q37" t="n">
        <v>2673.92</v>
      </c>
      <c r="R37" t="n">
        <v>0.0311</v>
      </c>
      <c r="S37" t="n">
        <v>5723.3</v>
      </c>
      <c r="T37" s="3" t="n">
        <v>0.025</v>
      </c>
      <c r="U37" s="3" t="n"/>
      <c r="V37">
        <f>S37/S36+T36-1</f>
        <v/>
      </c>
      <c r="X37" t="n">
        <v>2015</v>
      </c>
      <c r="Y37" t="n">
        <v>276555</v>
      </c>
      <c r="Z37">
        <f>Y37/Y36-1</f>
        <v/>
      </c>
      <c r="AB37">
        <f>AB36+1</f>
        <v/>
      </c>
      <c r="AC37">
        <f>AVERAGE(Z37,V54)</f>
        <v/>
      </c>
      <c r="AD37">
        <f>(1+AC37)/(F36/F35)-1</f>
        <v/>
      </c>
      <c r="AE37" s="10">
        <f>AB37</f>
        <v/>
      </c>
      <c r="AF37" s="10">
        <f>AD37</f>
        <v/>
      </c>
      <c r="AG37" s="3" t="n"/>
      <c r="AV37" t="n">
        <v>1977</v>
      </c>
      <c r="AW37" t="n">
        <v>40.3</v>
      </c>
      <c r="AX37">
        <f>IF(AND(AW38="",NOT(AW37="")),AW37,IF(AW37="",IF(AW36="",AX36*AX36/AX35,(AW36/$AW$8)^(1/(AV36-$AV$8))*AX36),""))</f>
        <v/>
      </c>
      <c r="AY37" s="1">
        <f>MAX(AW37:AX37)</f>
        <v/>
      </c>
      <c r="BA37">
        <f>BA36+1</f>
        <v/>
      </c>
      <c r="BB37" s="1" t="n">
        <v>20.8</v>
      </c>
      <c r="BD37">
        <f>IF(BA37&lt;$B$4,BD38*BB37/BB38,IF(BA37&gt;$B$5,BD36*BB37/BB36,VLOOKUP(BA37,$A$8:$D$119,4,FALSE)))</f>
        <v/>
      </c>
      <c r="BE37">
        <f>$BD$75/BD37</f>
        <v/>
      </c>
      <c r="BF37" t="inlineStr">
        <is>
          <t>\ ///</t>
        </is>
      </c>
      <c r="BG37">
        <f>BA37</f>
        <v/>
      </c>
    </row>
    <row r="38">
      <c r="A38" s="2" t="n">
        <v>2018</v>
      </c>
      <c r="B38" s="9" t="n">
        <v>105.9</v>
      </c>
      <c r="C38" s="7" t="n">
        <v>106.4129166666667</v>
      </c>
      <c r="D38" s="1">
        <f>IF(B38="",D37*C38/C37,B38)</f>
        <v/>
      </c>
      <c r="E38" s="10">
        <f>A38</f>
        <v/>
      </c>
      <c r="F38" s="11">
        <f>D38</f>
        <v/>
      </c>
      <c r="P38" s="6" t="n">
        <v>36495</v>
      </c>
      <c r="Q38" t="n">
        <v>3242.06</v>
      </c>
      <c r="R38" t="n">
        <v>0.0286</v>
      </c>
      <c r="S38" t="n">
        <v>6591.8</v>
      </c>
      <c r="T38" s="3" t="n">
        <v>0.0212</v>
      </c>
      <c r="U38" s="3" t="n"/>
      <c r="V38">
        <f>S38/S37+T37-1</f>
        <v/>
      </c>
      <c r="X38" t="n">
        <v>2016</v>
      </c>
      <c r="Y38" t="n">
        <v>282511</v>
      </c>
      <c r="Z38">
        <f>Y38/Y37-1</f>
        <v/>
      </c>
      <c r="AB38">
        <f>AB37+1</f>
        <v/>
      </c>
      <c r="AC38">
        <f>AVERAGE(Z38,V55)</f>
        <v/>
      </c>
      <c r="AD38">
        <f>(1+AC38)/(F37/F36)-1</f>
        <v/>
      </c>
      <c r="AE38" s="10">
        <f>AB38</f>
        <v/>
      </c>
      <c r="AF38" s="10">
        <f>AD38</f>
        <v/>
      </c>
      <c r="AG38" s="3" t="n"/>
      <c r="AV38" t="n">
        <v>1978</v>
      </c>
      <c r="AW38" t="n">
        <v>42</v>
      </c>
      <c r="AX38">
        <f>IF(AND(AW39="",NOT(AW38="")),AW38,IF(AW38="",IF(AW37="",AX37*AX37/AX36,(AW37/$AW$8)^(1/(AV37-$AV$8))*AX37),""))</f>
        <v/>
      </c>
      <c r="AY38" s="1">
        <f>MAX(AW38:AX38)</f>
        <v/>
      </c>
      <c r="BA38">
        <f>BA37+1</f>
        <v/>
      </c>
      <c r="BB38" s="1" t="n">
        <v>22.8</v>
      </c>
      <c r="BD38">
        <f>IF(BA38&lt;$B$4,BD39*BB38/BB39,IF(BA38&gt;$B$5,BD37*BB38/BB37,VLOOKUP(BA38,$A$8:$D$119,4,FALSE)))</f>
        <v/>
      </c>
      <c r="BE38">
        <f>$BD$75/BD38</f>
        <v/>
      </c>
      <c r="BF38" t="inlineStr">
        <is>
          <t>\ ///</t>
        </is>
      </c>
      <c r="BG38">
        <f>BA38</f>
        <v/>
      </c>
    </row>
    <row r="39">
      <c r="A39" s="2" t="n">
        <v>2019</v>
      </c>
      <c r="B39" s="9" t="n">
        <v>107.8</v>
      </c>
      <c r="C39" s="7" t="n">
        <v>108.26375</v>
      </c>
      <c r="D39" s="1">
        <f>IF(B39="",D38*C39/C38,B39)</f>
        <v/>
      </c>
      <c r="E39" s="10">
        <f>A39</f>
        <v/>
      </c>
      <c r="F39" s="11">
        <f>D39</f>
        <v/>
      </c>
      <c r="P39" s="6" t="n">
        <v>36861</v>
      </c>
      <c r="Q39" t="n">
        <v>2983.81</v>
      </c>
      <c r="R39" t="n">
        <v>0.0276</v>
      </c>
      <c r="S39" t="n">
        <v>6142.2</v>
      </c>
      <c r="T39" s="3" t="n">
        <v>0.0223</v>
      </c>
      <c r="U39" s="3" t="n"/>
      <c r="V39">
        <f>S39/S38+T38-1</f>
        <v/>
      </c>
      <c r="X39" t="n">
        <v>2017</v>
      </c>
      <c r="Y39" t="n">
        <v>280304</v>
      </c>
      <c r="Z39">
        <f>Y39/Y38-1</f>
        <v/>
      </c>
      <c r="AB39">
        <f>AB38+1</f>
        <v/>
      </c>
      <c r="AC39">
        <f>AVERAGE(Z39,V56)</f>
        <v/>
      </c>
      <c r="AD39">
        <f>(1+AC39)/(F38/F37)-1</f>
        <v/>
      </c>
      <c r="AE39" s="10">
        <f>AB39</f>
        <v/>
      </c>
      <c r="AF39" s="10">
        <f>AD39</f>
        <v/>
      </c>
      <c r="AG39" s="3" t="n"/>
      <c r="AV39" t="n">
        <v>1979</v>
      </c>
      <c r="AW39" t="n">
        <v>43.5</v>
      </c>
      <c r="AX39">
        <f>IF(AND(AW40="",NOT(AW39="")),AW39,IF(AW39="",IF(AW38="",AX38*AX38/AX37,(AW38/$AW$8)^(1/(AV38-$AV$8))*AX38),""))</f>
        <v/>
      </c>
      <c r="AY39" s="1">
        <f>MAX(AW39:AX39)</f>
        <v/>
      </c>
      <c r="BA39">
        <f>BA38+1</f>
        <v/>
      </c>
      <c r="BB39" s="1" t="n">
        <v>26</v>
      </c>
      <c r="BD39">
        <f>IF(BA39&lt;$B$4,BD40*BB39/BB40,IF(BA39&gt;$B$5,BD38*BB39/BB38,VLOOKUP(BA39,$A$8:$D$119,4,FALSE)))</f>
        <v/>
      </c>
      <c r="BE39">
        <f>$BD$75/BD39</f>
        <v/>
      </c>
      <c r="BF39" t="inlineStr">
        <is>
          <t>\ ///</t>
        </is>
      </c>
      <c r="BG39">
        <f>BA39</f>
        <v/>
      </c>
    </row>
    <row r="40">
      <c r="A40" s="2" t="n">
        <v>2020</v>
      </c>
      <c r="B40" s="9" t="n">
        <v>108.7</v>
      </c>
      <c r="C40" s="7" t="n">
        <v>108.9015</v>
      </c>
      <c r="D40" s="1">
        <f>IF(B40="",D39*C40/C39,B40)</f>
        <v/>
      </c>
      <c r="E40" s="10">
        <f>A40</f>
        <v/>
      </c>
      <c r="F40" s="11">
        <f>D40</f>
        <v/>
      </c>
      <c r="P40" s="6" t="n">
        <v>37226</v>
      </c>
      <c r="Q40" t="n">
        <v>2523.88</v>
      </c>
      <c r="R40" t="n">
        <v>0.0334</v>
      </c>
      <c r="S40" t="n">
        <v>5203.6</v>
      </c>
      <c r="T40" s="3" t="n">
        <v>0.0263</v>
      </c>
      <c r="U40" s="3" t="n"/>
      <c r="V40">
        <f>S40/S39+T39-1</f>
        <v/>
      </c>
      <c r="X40" t="n">
        <v>2018</v>
      </c>
      <c r="Y40" t="n">
        <v>282713</v>
      </c>
      <c r="Z40">
        <f>Y40/Y39-1</f>
        <v/>
      </c>
      <c r="AB40">
        <f>AB39+1</f>
        <v/>
      </c>
      <c r="AC40">
        <f>AVERAGE(Z40,V57)</f>
        <v/>
      </c>
      <c r="AD40">
        <f>(1+AC40)/(F39/F38)-1</f>
        <v/>
      </c>
      <c r="AE40" s="10">
        <f>AB40</f>
        <v/>
      </c>
      <c r="AF40" s="10">
        <f>AD40</f>
        <v/>
      </c>
      <c r="AG40" s="3" t="n"/>
      <c r="AV40" t="n">
        <v>1980</v>
      </c>
      <c r="AW40" t="n">
        <v>42.6</v>
      </c>
      <c r="AX40">
        <f>IF(AND(AW41="",NOT(AW40="")),AW40,IF(AW40="",IF(AW39="",AX39*AX39/AX38,(AW39/$AW$8)^(1/(AV39-$AV$8))*AX39),""))</f>
        <v/>
      </c>
      <c r="AY40" s="1">
        <f>MAX(AW40:AX40)</f>
        <v/>
      </c>
      <c r="BA40">
        <f>BA39+1</f>
        <v/>
      </c>
      <c r="BB40" s="1" t="n">
        <v>30.4</v>
      </c>
      <c r="BD40">
        <f>IF(BA40&lt;$B$4,BD41*BB40/BB41,IF(BA40&gt;$B$5,BD39*BB40/BB39,VLOOKUP(BA40,$A$8:$D$119,4,FALSE)))</f>
        <v/>
      </c>
      <c r="BE40">
        <f>$BD$75/BD40</f>
        <v/>
      </c>
      <c r="BF40" t="inlineStr">
        <is>
          <t>\ ///</t>
        </is>
      </c>
      <c r="BG40">
        <f>BA40</f>
        <v/>
      </c>
    </row>
    <row r="41">
      <c r="A41" s="2" t="n">
        <v>2021</v>
      </c>
      <c r="B41" s="9" t="n">
        <v>111.6</v>
      </c>
      <c r="C41" s="7" t="n">
        <v>113.1294393994092</v>
      </c>
      <c r="D41" s="1">
        <f>IF(B41="",D40*C41/C40,B41)</f>
        <v/>
      </c>
      <c r="E41" s="10">
        <f>A41</f>
        <v/>
      </c>
      <c r="F41" s="11">
        <f>D41</f>
        <v/>
      </c>
      <c r="P41" s="6" t="n">
        <v>37591</v>
      </c>
      <c r="Q41" t="n">
        <v>1893.73</v>
      </c>
      <c r="R41" t="n">
        <v>0.0406</v>
      </c>
      <c r="S41" t="n">
        <v>4169.4</v>
      </c>
      <c r="T41" s="3" t="n">
        <v>0.0355</v>
      </c>
      <c r="U41" s="3" t="n"/>
      <c r="V41">
        <f>S41/S40+T40-1</f>
        <v/>
      </c>
      <c r="X41" t="n">
        <v>2019</v>
      </c>
      <c r="Y41" t="n">
        <v>282174</v>
      </c>
      <c r="Z41">
        <f>Y41/Y40-1</f>
        <v/>
      </c>
      <c r="AB41">
        <f>AB40+1</f>
        <v/>
      </c>
      <c r="AC41">
        <f>AVERAGE(Z41,V58)</f>
        <v/>
      </c>
      <c r="AD41">
        <f>(1+AC41)/(F40/F39)-1</f>
        <v/>
      </c>
      <c r="AE41" s="10">
        <f>AB41</f>
        <v/>
      </c>
      <c r="AF41" s="10">
        <f>AD41</f>
        <v/>
      </c>
      <c r="AG41" s="3" t="n"/>
      <c r="AV41" t="n">
        <v>1981</v>
      </c>
      <c r="AW41" t="n">
        <v>42.3</v>
      </c>
      <c r="AX41">
        <f>IF(AND(AW42="",NOT(AW41="")),AW41,IF(AW41="",IF(AW40="",AX40*AX40/AX39,(AW40/$AW$8)^(1/(AV40-$AV$8))*AX40),""))</f>
        <v/>
      </c>
      <c r="AY41" s="1">
        <f>MAX(AW41:AX41)</f>
        <v/>
      </c>
      <c r="BA41">
        <f>BA40+1</f>
        <v/>
      </c>
      <c r="BB41" s="1" t="n">
        <v>34.1</v>
      </c>
      <c r="BD41">
        <f>IF(BA41&lt;$B$4,BD42*BB41/BB42,IF(BA41&gt;$B$5,BD40*BB41/BB40,VLOOKUP(BA41,$A$8:$D$119,4,FALSE)))</f>
        <v/>
      </c>
      <c r="BE41">
        <f>$BD$75/BD41</f>
        <v/>
      </c>
      <c r="BF41" t="inlineStr">
        <is>
          <t>\ ///</t>
        </is>
      </c>
      <c r="BG41">
        <f>BA41</f>
        <v/>
      </c>
    </row>
    <row r="42">
      <c r="A42">
        <f>A41+1</f>
        <v/>
      </c>
      <c r="B42" t="n">
        <v>121.7</v>
      </c>
      <c r="C42" s="7" t="n">
        <v>122.1883839140827</v>
      </c>
      <c r="D42" s="1">
        <f>IF(B42="",D41*C42/C41,B42)</f>
        <v/>
      </c>
      <c r="E42" s="10">
        <f>A42</f>
        <v/>
      </c>
      <c r="F42" s="11">
        <f>D42</f>
        <v/>
      </c>
      <c r="P42" s="6" t="n">
        <v>37956</v>
      </c>
      <c r="Q42" t="n">
        <v>2207.38</v>
      </c>
      <c r="R42" t="n">
        <v>0.031</v>
      </c>
      <c r="S42" t="n">
        <v>4342.6</v>
      </c>
      <c r="T42" s="3" t="n">
        <v>0.031</v>
      </c>
      <c r="U42" s="3" t="n"/>
      <c r="V42">
        <f>S42/S41+T41-1</f>
        <v/>
      </c>
      <c r="X42" t="n">
        <v>2020</v>
      </c>
      <c r="Y42" t="n">
        <v>303278</v>
      </c>
      <c r="Z42">
        <f>Y42/Y41-1</f>
        <v/>
      </c>
      <c r="AB42">
        <f>AB41+1</f>
        <v/>
      </c>
      <c r="AC42">
        <f>AVERAGE(Z42,V59)</f>
        <v/>
      </c>
      <c r="AD42">
        <f>(1+AC42)/(F41/F40)-1</f>
        <v/>
      </c>
      <c r="AE42" s="10">
        <f>AB42</f>
        <v/>
      </c>
      <c r="AF42" s="10">
        <f>AD42</f>
        <v/>
      </c>
      <c r="AG42" s="3" t="n"/>
      <c r="AV42" t="n">
        <v>1982</v>
      </c>
      <c r="AW42" t="n">
        <v>43.2</v>
      </c>
      <c r="AX42">
        <f>IF(AND(AW43="",NOT(AW42="")),AW42,IF(AW42="",IF(AW41="",AX41*AX41/AX40,(AW41/$AW$8)^(1/(AV41-$AV$8))*AX41),""))</f>
        <v/>
      </c>
      <c r="AY42" s="1">
        <f>MAX(AW42:AX42)</f>
        <v/>
      </c>
      <c r="BA42">
        <f>BA41+1</f>
        <v/>
      </c>
      <c r="BB42" s="1" t="n">
        <v>37.3</v>
      </c>
      <c r="BD42">
        <f>IF(BA42&lt;$B$4,BD43*BB42/BB43,IF(BA42&gt;$B$5,BD41*BB42/BB41,VLOOKUP(BA42,$A$8:$D$119,4,FALSE)))</f>
        <v/>
      </c>
      <c r="BE42">
        <f>$BD$75/BD42</f>
        <v/>
      </c>
      <c r="BF42" t="inlineStr">
        <is>
          <t>\ ///</t>
        </is>
      </c>
      <c r="BG42">
        <f>BA42</f>
        <v/>
      </c>
    </row>
    <row r="43">
      <c r="A43">
        <f>A42+1</f>
        <v/>
      </c>
      <c r="C43" s="7" t="n">
        <v>125.0738758965178</v>
      </c>
      <c r="D43" s="1">
        <f>IF(B43="",D42*C43/C42,B43)</f>
        <v/>
      </c>
      <c r="E43" s="10">
        <f>A43</f>
        <v/>
      </c>
      <c r="F43" s="11">
        <f>D43</f>
        <v/>
      </c>
      <c r="P43" s="6" t="n">
        <v>38322</v>
      </c>
      <c r="Q43" t="n">
        <v>2412.3</v>
      </c>
      <c r="R43" t="n">
        <v>0.03</v>
      </c>
      <c r="S43" t="n">
        <v>4703.2</v>
      </c>
      <c r="T43" s="3" t="n">
        <v>0.0305</v>
      </c>
      <c r="U43" s="3" t="n"/>
      <c r="V43">
        <f>S43/S42+T42-1</f>
        <v/>
      </c>
      <c r="X43" t="n">
        <v>2021</v>
      </c>
      <c r="Y43" t="n">
        <v>323595</v>
      </c>
      <c r="Z43">
        <f>Y43/Y42-1</f>
        <v/>
      </c>
      <c r="AB43">
        <f>AB42+1</f>
        <v/>
      </c>
      <c r="AC43">
        <f>AVERAGE(Z43,V60)</f>
        <v/>
      </c>
      <c r="AD43">
        <f>(1+AC43)/(F42/F41)-1</f>
        <v/>
      </c>
      <c r="AE43" s="10">
        <f>AB43</f>
        <v/>
      </c>
      <c r="AF43" s="10">
        <f>AD43</f>
        <v/>
      </c>
      <c r="AG43" s="3" t="n"/>
      <c r="AV43" t="n">
        <v>1983</v>
      </c>
      <c r="AW43" t="n">
        <v>45</v>
      </c>
      <c r="AX43">
        <f>IF(AND(AW44="",NOT(AW43="")),AW43,IF(AW43="",IF(AW42="",AX42*AX42/AX41,(AW42/$AW$8)^(1/(AV42-$AV$8))*AX42),""))</f>
        <v/>
      </c>
      <c r="AY43" s="1">
        <f>MAX(AW43:AX43)</f>
        <v/>
      </c>
      <c r="BA43">
        <f>BA42+1</f>
        <v/>
      </c>
      <c r="BB43" s="1" t="n">
        <v>39.5</v>
      </c>
      <c r="BD43">
        <f>IF(BA43&lt;$B$4,BD44*BB43/BB44,IF(BA43&gt;$B$5,BD42*BB43/BB42,VLOOKUP(BA43,$A$8:$D$119,4,FALSE)))</f>
        <v/>
      </c>
      <c r="BE43">
        <f>$BD$75/BD43</f>
        <v/>
      </c>
      <c r="BF43" t="inlineStr">
        <is>
          <t>\ ///</t>
        </is>
      </c>
      <c r="BG43">
        <f>BA43</f>
        <v/>
      </c>
    </row>
    <row r="44">
      <c r="A44">
        <f>A43+1</f>
        <v/>
      </c>
      <c r="C44" s="7" t="n">
        <v>127.1388130734492</v>
      </c>
      <c r="D44" s="1">
        <f>IF(B44="",D43*C44/C43,B44)</f>
        <v/>
      </c>
      <c r="E44" s="10">
        <f>A44</f>
        <v/>
      </c>
      <c r="F44" s="11">
        <f>D44</f>
        <v/>
      </c>
      <c r="P44" s="6" t="n">
        <v>38687</v>
      </c>
      <c r="Q44" t="n">
        <v>2847.02</v>
      </c>
      <c r="R44" t="n">
        <v>0.0295</v>
      </c>
      <c r="S44" t="n">
        <v>5423.2</v>
      </c>
      <c r="T44" s="3" t="n">
        <v>0.0295</v>
      </c>
      <c r="U44" s="3" t="n"/>
      <c r="V44">
        <f>S44/S43+T43-1</f>
        <v/>
      </c>
      <c r="AE44" s="10">
        <f>AE43+1</f>
        <v/>
      </c>
      <c r="AF44" s="10">
        <f>AD6</f>
        <v/>
      </c>
      <c r="AG44" s="3" t="n"/>
      <c r="AV44" t="n">
        <v>1984</v>
      </c>
      <c r="AW44" t="n">
        <v>46</v>
      </c>
      <c r="AX44">
        <f>IF(AND(AW45="",NOT(AW44="")),AW44,IF(AW44="",IF(AW43="",AX43*AX43/AX42,(AW43/$AW$8)^(1/(AV43-$AV$8))*AX43),""))</f>
        <v/>
      </c>
      <c r="AY44" s="1">
        <f>MAX(AW44:AX44)</f>
        <v/>
      </c>
      <c r="BA44">
        <f>BA43+1</f>
        <v/>
      </c>
      <c r="BB44" s="1" t="n">
        <v>41.6</v>
      </c>
      <c r="BD44">
        <f>IF(BA44&lt;$B$4,BD45*BB44/BB45,IF(BA44&gt;$B$5,BD43*BB44/BB43,VLOOKUP(BA44,$A$8:$D$119,4,FALSE)))</f>
        <v/>
      </c>
      <c r="BE44">
        <f>$BD$75/BD44</f>
        <v/>
      </c>
      <c r="BF44" t="inlineStr">
        <is>
          <t>\ ///</t>
        </is>
      </c>
      <c r="BG44">
        <f>BA44</f>
        <v/>
      </c>
    </row>
    <row r="45">
      <c r="A45">
        <f>A44+1</f>
        <v/>
      </c>
      <c r="C45" s="7" t="n">
        <v>129.6351965030282</v>
      </c>
      <c r="D45" s="1">
        <f>IF(B45="",D44*C45/C44,B45)</f>
        <v/>
      </c>
      <c r="E45" s="10">
        <f>A45</f>
        <v/>
      </c>
      <c r="F45" s="11">
        <f>D45</f>
        <v/>
      </c>
      <c r="P45" s="6" t="n">
        <v>39052</v>
      </c>
      <c r="Q45" t="n">
        <v>0</v>
      </c>
      <c r="R45" t="n">
        <v>0</v>
      </c>
      <c r="S45" t="n">
        <v>6048.8</v>
      </c>
      <c r="T45" s="3" t="n">
        <v>0.0286</v>
      </c>
      <c r="U45" s="3" t="n"/>
      <c r="V45">
        <f>S45/S44+T44-1</f>
        <v/>
      </c>
      <c r="AV45" t="n">
        <v>1985</v>
      </c>
      <c r="AW45" t="n">
        <v>47.9</v>
      </c>
      <c r="AX45">
        <f>IF(AND(AW46="",NOT(AW45="")),AW45,IF(AW45="",IF(AW44="",AX44*AX44/AX43,(AW44/$AW$8)^(1/(AV44-$AV$8))*AX44),""))</f>
        <v/>
      </c>
      <c r="AY45" s="1">
        <f>MAX(AW45:AX45)</f>
        <v/>
      </c>
      <c r="BA45">
        <f>BA44+1</f>
        <v/>
      </c>
      <c r="BB45" s="1" t="n">
        <v>43.3</v>
      </c>
      <c r="BD45">
        <f>IF(BA45&lt;$B$4,BD46*BB45/BB46,IF(BA45&gt;$B$5,BD44*BB45/BB44,VLOOKUP(BA45,$A$8:$D$119,4,FALSE)))</f>
        <v/>
      </c>
      <c r="BE45">
        <f>$BD$75/BD45</f>
        <v/>
      </c>
      <c r="BF45" t="inlineStr">
        <is>
          <t>\ ///</t>
        </is>
      </c>
      <c r="BG45">
        <f>BA45</f>
        <v/>
      </c>
    </row>
    <row r="46">
      <c r="A46">
        <f>A45+1</f>
        <v/>
      </c>
      <c r="C46" s="7" t="n">
        <v>132.2279004330887</v>
      </c>
      <c r="D46" s="1">
        <f>IF(B46="",D45*C46/C45,B46)</f>
        <v/>
      </c>
      <c r="E46" s="10">
        <f>A46</f>
        <v/>
      </c>
      <c r="F46" s="11">
        <f>D46</f>
        <v/>
      </c>
      <c r="P46" s="6" t="n">
        <v>39417</v>
      </c>
      <c r="Q46" t="n">
        <v>0</v>
      </c>
      <c r="R46" t="n">
        <v>0</v>
      </c>
      <c r="S46" t="n">
        <v>6432.5</v>
      </c>
      <c r="T46" s="3" t="n">
        <v>0.0302</v>
      </c>
      <c r="U46" s="3" t="n"/>
      <c r="V46">
        <f>S46/S45+T45-1</f>
        <v/>
      </c>
      <c r="AV46" t="n">
        <v>1986</v>
      </c>
      <c r="AW46" t="n">
        <v>49.4</v>
      </c>
      <c r="AX46">
        <f>IF(AND(AW47="",NOT(AW46="")),AW46,IF(AW46="",IF(AW45="",AX45*AX45/AX44,(AW45/$AW$8)^(1/(AV45-$AV$8))*AX45),""))</f>
        <v/>
      </c>
      <c r="AY46" s="1">
        <f>MAX(AW46:AX46)</f>
        <v/>
      </c>
      <c r="BA46">
        <f>BA45+1</f>
        <v/>
      </c>
      <c r="BB46" s="1" t="n">
        <v>45.1</v>
      </c>
      <c r="BD46">
        <f>IF(BA46&lt;$B$4,BD47*BB46/BB47,IF(BA46&gt;$B$5,BD45*BB46/BB45,VLOOKUP(BA46,$A$8:$D$119,4,FALSE)))</f>
        <v/>
      </c>
      <c r="BE46">
        <f>$BD$75/BD46</f>
        <v/>
      </c>
      <c r="BF46" t="inlineStr">
        <is>
          <t>\ ///</t>
        </is>
      </c>
      <c r="BG46">
        <f>BA46</f>
        <v/>
      </c>
    </row>
    <row r="47">
      <c r="E47" s="10">
        <f>E46+1</f>
        <v/>
      </c>
      <c r="F47" s="11">
        <f>F46*C6</f>
        <v/>
      </c>
      <c r="G47" s="1" t="n"/>
      <c r="P47" s="6" t="n">
        <v>39783</v>
      </c>
      <c r="Q47" t="n">
        <v>0</v>
      </c>
      <c r="R47" t="n">
        <v>0</v>
      </c>
      <c r="S47" t="n">
        <v>4288</v>
      </c>
      <c r="T47" s="3" t="n">
        <v>0.0449</v>
      </c>
      <c r="U47" s="3" t="n"/>
      <c r="V47">
        <f>S47/S46+T46-1</f>
        <v/>
      </c>
      <c r="AV47" t="n">
        <v>1987</v>
      </c>
      <c r="AW47" t="n">
        <v>52.1</v>
      </c>
      <c r="AX47">
        <f>IF(AND(AW48="",NOT(AW47="")),AW47,IF(AW47="",IF(AW46="",AX46*AX46/AX45,(AW46/$AW$8)^(1/(AV46-$AV$8))*AX46),""))</f>
        <v/>
      </c>
      <c r="AY47" s="1">
        <f>MAX(AW47:AX47)</f>
        <v/>
      </c>
      <c r="BA47">
        <f>BA46+1</f>
        <v/>
      </c>
      <c r="BB47" s="1" t="n">
        <v>47</v>
      </c>
      <c r="BD47">
        <f>IF(BA47&lt;$B$4,BD48*BB47/BB48,IF(BA47&gt;$B$5,BD46*BB47/BB46,VLOOKUP(BA47,$A$8:$D$119,4,FALSE)))</f>
        <v/>
      </c>
      <c r="BE47">
        <f>$BD$75/BD47</f>
        <v/>
      </c>
      <c r="BF47" t="inlineStr">
        <is>
          <t>\ ///</t>
        </is>
      </c>
      <c r="BG47">
        <f>BA47</f>
        <v/>
      </c>
    </row>
    <row r="48">
      <c r="P48" s="6" t="n">
        <v>40148</v>
      </c>
      <c r="Q48" t="n">
        <v>0</v>
      </c>
      <c r="R48" t="n">
        <v>0</v>
      </c>
      <c r="S48" t="n">
        <v>5190.7</v>
      </c>
      <c r="T48" s="3" t="n">
        <v>0.032</v>
      </c>
      <c r="U48" s="3" t="n"/>
      <c r="V48">
        <f>S48/S47+T47-1</f>
        <v/>
      </c>
      <c r="AV48" t="n">
        <v>1988</v>
      </c>
      <c r="AW48" t="n">
        <v>55</v>
      </c>
      <c r="AX48">
        <f>IF(AND(AW49="",NOT(AW48="")),AW48,IF(AW48="",IF(AW47="",AX47*AX47/AX46,(AW47/$AW$8)^(1/(AV47-$AV$8))*AX47),""))</f>
        <v/>
      </c>
      <c r="AY48" s="1">
        <f>MAX(AW48:AX48)</f>
        <v/>
      </c>
      <c r="BA48">
        <f>BA47+1</f>
        <v/>
      </c>
      <c r="BB48" s="1" t="n">
        <v>49.4</v>
      </c>
      <c r="BD48">
        <f>IF(BA48&lt;$B$4,BD49*BB48/BB49,IF(BA48&gt;$B$5,BD47*BB48/BB47,VLOOKUP(BA48,$A$8:$D$119,4,FALSE)))</f>
        <v/>
      </c>
      <c r="BE48">
        <f>$BD$75/BD48</f>
        <v/>
      </c>
      <c r="BF48" t="inlineStr">
        <is>
          <t>\ ///</t>
        </is>
      </c>
      <c r="BG48">
        <f>BA48</f>
        <v/>
      </c>
    </row>
    <row r="49">
      <c r="P49" s="6" t="n">
        <v>40513</v>
      </c>
      <c r="Q49" t="n">
        <v>0</v>
      </c>
      <c r="R49" t="n">
        <v>0</v>
      </c>
      <c r="S49" t="n">
        <v>5528.3</v>
      </c>
      <c r="T49" s="3" t="n">
        <v>0.0289</v>
      </c>
      <c r="U49" s="3" t="n"/>
      <c r="V49">
        <f>S49/S48+T48-1</f>
        <v/>
      </c>
      <c r="AV49" t="n">
        <v>1989</v>
      </c>
      <c r="AW49" t="n">
        <v>56.3</v>
      </c>
      <c r="AX49">
        <f>IF(AND(AW50="",NOT(AW49="")),AW49,IF(AW49="",IF(AW48="",AX48*AX48/AX47,(AW48/$AW$8)^(1/(AV48-$AV$8))*AX48),""))</f>
        <v/>
      </c>
      <c r="AY49" s="1">
        <f>MAX(AW49:AX49)</f>
        <v/>
      </c>
      <c r="BA49">
        <f>BA48+1</f>
        <v/>
      </c>
      <c r="BB49" s="1" t="n">
        <v>52.1</v>
      </c>
      <c r="BD49">
        <f>IF(BA49&lt;$B$4,BD50*BB49/BB50,IF(BA49&gt;$B$5,BD48*BB49/BB48,VLOOKUP(BA49,$A$8:$D$119,4,FALSE)))</f>
        <v/>
      </c>
      <c r="BE49">
        <f>$BD$75/BD49</f>
        <v/>
      </c>
      <c r="BF49" t="inlineStr">
        <is>
          <t>\ ///</t>
        </is>
      </c>
      <c r="BG49">
        <f>BA49</f>
        <v/>
      </c>
    </row>
    <row r="50">
      <c r="P50" s="6" t="n">
        <v>40878</v>
      </c>
      <c r="Q50" t="n">
        <v>0</v>
      </c>
      <c r="R50" t="n">
        <v>0</v>
      </c>
      <c r="S50" t="n">
        <v>5505.4</v>
      </c>
      <c r="T50" s="3" t="n">
        <v>0.0352</v>
      </c>
      <c r="U50" t="n">
        <v>4012.77</v>
      </c>
      <c r="V50">
        <f>S50/S49+T49-1</f>
        <v/>
      </c>
      <c r="AV50" t="n">
        <v>1990</v>
      </c>
      <c r="AW50" t="n">
        <v>56.7</v>
      </c>
      <c r="AX50">
        <f>IF(AND(AW51="",NOT(AW50="")),AW50,IF(AW50="",IF(AW49="",AX49*AX49/AX48,(AW49/$AW$8)^(1/(AV49-$AV$8))*AX49),""))</f>
        <v/>
      </c>
      <c r="AY50" s="1">
        <f>MAX(AW50:AX50)</f>
        <v/>
      </c>
      <c r="BA50">
        <f>BA49+1</f>
        <v/>
      </c>
      <c r="BB50" s="1" t="n">
        <v>56.1</v>
      </c>
      <c r="BD50">
        <f>IF(BA50&lt;$B$4,BD51*BB50/BB51,IF(BA50&gt;$B$5,BD49*BB50/BB49,VLOOKUP(BA50,$A$8:$D$119,4,FALSE)))</f>
        <v/>
      </c>
      <c r="BE50">
        <f>$BD$75/BD50</f>
        <v/>
      </c>
      <c r="BF50" t="inlineStr">
        <is>
          <t>\ ///</t>
        </is>
      </c>
      <c r="BG50">
        <f>BA50</f>
        <v/>
      </c>
    </row>
    <row r="51">
      <c r="P51" s="6" t="n">
        <v>41244</v>
      </c>
      <c r="Q51" t="n">
        <v>0</v>
      </c>
      <c r="R51" t="n">
        <v>0</v>
      </c>
      <c r="S51" t="n">
        <v>5320.9</v>
      </c>
      <c r="T51" s="3" t="n">
        <v>0.0352</v>
      </c>
      <c r="U51" t="n">
        <v>3934.37</v>
      </c>
      <c r="V51">
        <f>S51/S50+T50-1</f>
        <v/>
      </c>
      <c r="AV51" t="n">
        <v>1991</v>
      </c>
      <c r="AW51" t="n">
        <v>56</v>
      </c>
      <c r="AX51">
        <f>IF(AND(AW52="",NOT(AW51="")),AW51,IF(AW51="",IF(AW50="",AX50*AX50/AX49,(AW50/$AW$8)^(1/(AV50-$AV$8))*AX50),""))</f>
        <v/>
      </c>
      <c r="AY51" s="1">
        <f>MAX(AW51:AX51)</f>
        <v/>
      </c>
      <c r="BA51">
        <f>BA50+1</f>
        <v/>
      </c>
      <c r="BB51" s="1" t="n">
        <v>60.5</v>
      </c>
      <c r="BD51">
        <f>IF(BA51&lt;$B$4,BD52*BB51/BB52,IF(BA51&gt;$B$5,BD50*BB51/BB50,VLOOKUP(BA51,$A$8:$D$119,4,FALSE)))</f>
        <v/>
      </c>
      <c r="BE51">
        <f>$BD$75/BD51</f>
        <v/>
      </c>
      <c r="BF51" t="inlineStr">
        <is>
          <t>\ ///</t>
        </is>
      </c>
      <c r="BG51">
        <f>BA51</f>
        <v/>
      </c>
    </row>
    <row r="52">
      <c r="P52" s="6" t="n">
        <v>41609</v>
      </c>
      <c r="U52" t="n">
        <v>4580.29</v>
      </c>
      <c r="V52">
        <f>U52/U51-1</f>
        <v/>
      </c>
      <c r="AV52" t="n">
        <v>1992</v>
      </c>
      <c r="AW52" t="n">
        <v>56.2</v>
      </c>
      <c r="AX52">
        <f>IF(AND(AW53="",NOT(AW52="")),AW52,IF(AW52="",IF(AW51="",AX51*AX51/AX50,(AW51/$AW$8)^(1/(AV51-$AV$8))*AX51),""))</f>
        <v/>
      </c>
      <c r="AY52" s="1">
        <f>MAX(AW52:AX52)</f>
        <v/>
      </c>
      <c r="BA52">
        <f>BA51+1</f>
        <v/>
      </c>
      <c r="BB52" s="1" t="n">
        <v>63</v>
      </c>
      <c r="BD52">
        <f>IF(BA52&lt;$B$4,BD53*BB52/BB53,IF(BA52&gt;$B$5,BD51*BB52/BB51,VLOOKUP(BA52,$A$8:$D$119,4,FALSE)))</f>
        <v/>
      </c>
      <c r="BE52">
        <f>$BD$75/BD52</f>
        <v/>
      </c>
      <c r="BF52" t="inlineStr">
        <is>
          <t>\ ///</t>
        </is>
      </c>
      <c r="BG52">
        <f>BA52</f>
        <v/>
      </c>
    </row>
    <row r="53">
      <c r="P53" s="6" t="n">
        <v>41974</v>
      </c>
      <c r="U53" t="n">
        <v>5008.21</v>
      </c>
      <c r="V53">
        <f>U53/U52-1</f>
        <v/>
      </c>
      <c r="AV53" t="n">
        <v>1993</v>
      </c>
      <c r="AW53" t="n">
        <v>57.5</v>
      </c>
      <c r="AX53">
        <f>IF(AND(AW54="",NOT(AW53="")),AW53,IF(AW53="",IF(AW52="",AX52*AX52/AX51,(AW52/$AW$8)^(1/(AV52-$AV$8))*AX52),""))</f>
        <v/>
      </c>
      <c r="AY53" s="1">
        <f>MAX(AW53:AX53)</f>
        <v/>
      </c>
      <c r="BA53">
        <f>BA52+1</f>
        <v/>
      </c>
      <c r="BB53" s="1" t="n">
        <v>65</v>
      </c>
      <c r="BD53">
        <f>IF(BA53&lt;$B$4,BD54*BB53/BB54,IF(BA53&gt;$B$5,BD52*BB53/BB52,VLOOKUP(BA53,$A$8:$D$119,4,FALSE)))</f>
        <v/>
      </c>
      <c r="BE53">
        <f>$BD$75/BD53</f>
        <v/>
      </c>
      <c r="BF53" t="inlineStr">
        <is>
          <t>\ ///</t>
        </is>
      </c>
      <c r="BG53">
        <f>BA53</f>
        <v/>
      </c>
    </row>
    <row r="54">
      <c r="P54" s="6" t="n">
        <v>42339</v>
      </c>
      <c r="U54" t="n">
        <v>5329.14</v>
      </c>
      <c r="V54">
        <f>U54/U53-1</f>
        <v/>
      </c>
      <c r="AV54" t="n">
        <v>1994</v>
      </c>
      <c r="AW54" t="n">
        <v>59.7</v>
      </c>
      <c r="AX54">
        <f>IF(AND(AW55="",NOT(AW54="")),AW54,IF(AW54="",IF(AW53="",AX53*AX53/AX52,(AW53/$AW$8)^(1/(AV53-$AV$8))*AX53),""))</f>
        <v/>
      </c>
      <c r="AY54" s="1">
        <f>MAX(AW54:AX54)</f>
        <v/>
      </c>
      <c r="BA54">
        <f>BA53+1</f>
        <v/>
      </c>
      <c r="BB54" s="1" t="n">
        <v>66.09999999999999</v>
      </c>
      <c r="BD54">
        <f>IF(BA54&lt;$B$4,BD55*BB54/BB55,IF(BA54&gt;$B$5,BD53*BB54/BB53,VLOOKUP(BA54,$A$8:$D$119,4,FALSE)))</f>
        <v/>
      </c>
      <c r="BE54">
        <f>$BD$75/BD54</f>
        <v/>
      </c>
      <c r="BF54" t="inlineStr">
        <is>
          <t>\ ///</t>
        </is>
      </c>
      <c r="BG54">
        <f>BA54</f>
        <v/>
      </c>
    </row>
    <row r="55">
      <c r="P55" s="6" t="n">
        <v>42705</v>
      </c>
      <c r="U55" t="n">
        <v>4964.16</v>
      </c>
      <c r="V55">
        <f>U55/U54-1</f>
        <v/>
      </c>
      <c r="AV55" t="n">
        <v>1995</v>
      </c>
      <c r="AW55" t="n">
        <v>61.2</v>
      </c>
      <c r="AX55">
        <f>IF(AND(AW56="",NOT(AW55="")),AW55,IF(AW55="",IF(AW54="",AX54*AX54/AX53,(AW54/$AW$8)^(1/(AV54-$AV$8))*AX54),""))</f>
        <v/>
      </c>
      <c r="AY55" s="1">
        <f>MAX(AW55:AX55)</f>
        <v/>
      </c>
      <c r="BA55">
        <f>BA54+1</f>
        <v/>
      </c>
      <c r="BB55" s="1" t="n">
        <v>68.09999999999999</v>
      </c>
      <c r="BD55">
        <f>IF(BA55&lt;$B$4,BD56*BB55/BB56,IF(BA55&gt;$B$5,BD54*BB55/BB54,VLOOKUP(BA55,$A$8:$D$119,4,FALSE)))</f>
        <v/>
      </c>
      <c r="BE55">
        <f>$BD$75/BD55</f>
        <v/>
      </c>
      <c r="BF55" t="inlineStr">
        <is>
          <t>\ ///</t>
        </is>
      </c>
      <c r="BG55">
        <f>BA55</f>
        <v/>
      </c>
    </row>
    <row r="56">
      <c r="P56" s="6" t="n">
        <v>43070</v>
      </c>
      <c r="U56" t="n">
        <v>5956.51</v>
      </c>
      <c r="V56">
        <f>U56/U55-1</f>
        <v/>
      </c>
      <c r="AV56" t="n">
        <v>1996</v>
      </c>
      <c r="AW56" t="n">
        <v>62.6</v>
      </c>
      <c r="AX56">
        <f>IF(AND(AW57="",NOT(AW56="")),AW56,IF(AW56="",IF(AW55="",AX55*AX55/AX54,(AW55/$AW$8)^(1/(AV55-$AV$8))*AX55),""))</f>
        <v/>
      </c>
      <c r="AY56" s="1">
        <f>MAX(AW56:AX56)</f>
        <v/>
      </c>
      <c r="BA56">
        <f>BA55+1</f>
        <v/>
      </c>
      <c r="BB56" s="1" t="n">
        <v>70.40000000000001</v>
      </c>
      <c r="BD56">
        <f>IF(BA56&lt;$B$4,BD57*BB56/BB57,IF(BA56&gt;$B$5,BD55*BB56/BB55,VLOOKUP(BA56,$A$8:$D$119,4,FALSE)))</f>
        <v/>
      </c>
      <c r="BE56">
        <f>$BD$75/BD56</f>
        <v/>
      </c>
      <c r="BF56" t="inlineStr">
        <is>
          <t>\ ///</t>
        </is>
      </c>
      <c r="BG56">
        <f>BA56</f>
        <v/>
      </c>
    </row>
    <row r="57">
      <c r="P57" s="6" t="n">
        <v>43435</v>
      </c>
      <c r="U57" t="n">
        <v>6463.52</v>
      </c>
      <c r="V57">
        <f>U57/U56-1</f>
        <v/>
      </c>
      <c r="AV57" t="n">
        <v>1997</v>
      </c>
      <c r="AW57" t="n">
        <v>65.7</v>
      </c>
      <c r="AX57">
        <f>IF(AND(AW58="",NOT(AW57="")),AW57,IF(AW57="",IF(AW56="",AX56*AX56/AX55,(AW56/$AW$8)^(1/(AV56-$AV$8))*AX56),""))</f>
        <v/>
      </c>
      <c r="AY57" s="1">
        <f>MAX(AW57:AX57)</f>
        <v/>
      </c>
      <c r="BA57">
        <f>BA56+1</f>
        <v/>
      </c>
      <c r="BB57" s="1" t="n">
        <v>71.90000000000001</v>
      </c>
      <c r="BD57">
        <f>IF(BA57&lt;$B$4,BD58*BB57/BB58,IF(BA57&gt;$B$5,BD56*BB57/BB56,VLOOKUP(BA57,$A$8:$D$119,4,FALSE)))</f>
        <v/>
      </c>
      <c r="BE57">
        <f>$BD$75/BD57</f>
        <v/>
      </c>
      <c r="BF57" t="inlineStr">
        <is>
          <t>\ ///</t>
        </is>
      </c>
      <c r="BG57">
        <f>BA57</f>
        <v/>
      </c>
    </row>
    <row r="58">
      <c r="P58" s="6" t="n">
        <v>43800</v>
      </c>
      <c r="U58" t="n">
        <v>6666.82</v>
      </c>
      <c r="V58">
        <f>U58/U57-1</f>
        <v/>
      </c>
      <c r="AV58" t="n">
        <v>1998</v>
      </c>
      <c r="AW58" t="n">
        <v>67.8</v>
      </c>
      <c r="AX58">
        <f>IF(AND(AW59="",NOT(AW58="")),AW58,IF(AW58="",IF(AW57="",AX57*AX57/AX56,(AW57/$AW$8)^(1/(AV57-$AV$8))*AX57),""))</f>
        <v/>
      </c>
      <c r="AY58" s="1">
        <f>MAX(AW58:AX58)</f>
        <v/>
      </c>
      <c r="BA58">
        <f>BA57+1</f>
        <v/>
      </c>
      <c r="BB58" s="1" t="n">
        <v>72.90000000000001</v>
      </c>
      <c r="BD58">
        <f>IF(BA58&lt;$B$4,BD59*BB58/BB59,IF(BA58&gt;$B$5,BD57*BB58/BB57,VLOOKUP(BA58,$A$8:$D$119,4,FALSE)))</f>
        <v/>
      </c>
      <c r="BE58">
        <f>$BD$75/BD58</f>
        <v/>
      </c>
      <c r="BF58" t="inlineStr">
        <is>
          <t>\ ///</t>
        </is>
      </c>
      <c r="BG58">
        <f>BA58</f>
        <v/>
      </c>
    </row>
    <row r="59">
      <c r="P59" s="6" t="n">
        <v>44166</v>
      </c>
      <c r="U59" t="n">
        <v>5524.05</v>
      </c>
      <c r="V59">
        <f>U59/U58-1</f>
        <v/>
      </c>
      <c r="AV59" t="n">
        <v>1999</v>
      </c>
      <c r="AW59" t="n">
        <v>69.8</v>
      </c>
      <c r="AX59">
        <f>IF(AND(AW60="",NOT(AW59="")),AW59,IF(AW59="",IF(AW58="",AX58*AX58/AX57,(AW58/$AW$8)^(1/(AV58-$AV$8))*AX58),""))</f>
        <v/>
      </c>
      <c r="AY59" s="1">
        <f>MAX(AW59:AX59)</f>
        <v/>
      </c>
      <c r="BA59">
        <f>BA58+1</f>
        <v/>
      </c>
      <c r="BB59" s="1" t="n">
        <v>73.3</v>
      </c>
      <c r="BD59">
        <f>IF(BA59&lt;$B$4,BD60*BB59/BB60,IF(BA59&gt;$B$5,BD58*BB59/BB58,VLOOKUP(BA59,$A$8:$D$119,4,FALSE)))</f>
        <v/>
      </c>
      <c r="BE59">
        <f>$BD$75/BD59</f>
        <v/>
      </c>
      <c r="BF59" t="inlineStr">
        <is>
          <t>\ ///</t>
        </is>
      </c>
      <c r="BG59">
        <f>BA59</f>
        <v/>
      </c>
    </row>
    <row r="60">
      <c r="P60" s="6" t="n">
        <v>44531</v>
      </c>
      <c r="U60" t="n">
        <v>6747.87</v>
      </c>
      <c r="V60">
        <f>U60/U59-1</f>
        <v/>
      </c>
      <c r="AV60" t="n">
        <v>2000</v>
      </c>
      <c r="AW60" t="n">
        <v>72.40000000000001</v>
      </c>
      <c r="AX60">
        <f>IF(AND(AW61="",NOT(AW60="")),AW60,IF(AW60="",IF(AW59="",AX59*AX59/AX58,(AW59/$AW$8)^(1/(AV59-$AV$8))*AX59),""))</f>
        <v/>
      </c>
      <c r="AY60" s="1">
        <f>MAX(AW60:AX60)</f>
        <v/>
      </c>
      <c r="BA60">
        <f>BA59+1</f>
        <v/>
      </c>
      <c r="BB60" s="1" t="n">
        <v>73.5</v>
      </c>
      <c r="BD60">
        <f>IF(BA60&lt;$B$4,BD61*BB60/BB61,IF(BA60&gt;$B$5,BD59*BB60/BB59,VLOOKUP(BA60,$A$8:$D$119,4,FALSE)))</f>
        <v/>
      </c>
      <c r="BE60">
        <f>$BD$75/BD60</f>
        <v/>
      </c>
      <c r="BF60" t="inlineStr">
        <is>
          <t>\ ///</t>
        </is>
      </c>
      <c r="BG60">
        <f>BA60</f>
        <v/>
      </c>
    </row>
    <row r="61">
      <c r="AV61" t="n">
        <v>2001</v>
      </c>
      <c r="AW61" t="n">
        <v>73.90000000000001</v>
      </c>
      <c r="AX61">
        <f>IF(AND(AW62="",NOT(AW61="")),AW61,IF(AW61="",IF(AW60="",AX60*AX60/AX59,(AW60/$AW$8)^(1/(AV60-$AV$8))*AX60),""))</f>
        <v/>
      </c>
      <c r="AY61" s="1">
        <f>MAX(AW61:AX61)</f>
        <v/>
      </c>
      <c r="BA61">
        <f>BA60+1</f>
        <v/>
      </c>
      <c r="BB61" s="1" t="n">
        <v>73.90000000000001</v>
      </c>
      <c r="BD61">
        <f>IF(BA61&lt;$B$4,BD62*BB61/BB62,IF(BA61&gt;$B$5,BD60*BB61/BB60,VLOOKUP(BA61,$A$8:$D$119,4,FALSE)))</f>
        <v/>
      </c>
      <c r="BE61">
        <f>$BD$75/BD61</f>
        <v/>
      </c>
      <c r="BF61" t="inlineStr">
        <is>
          <t>\ ///</t>
        </is>
      </c>
      <c r="BG61">
        <f>BA61</f>
        <v/>
      </c>
    </row>
    <row r="62">
      <c r="AV62" t="n">
        <v>2002</v>
      </c>
      <c r="AW62" t="n">
        <v>75.5</v>
      </c>
      <c r="AX62">
        <f>IF(AND(AW63="",NOT(AW62="")),AW62,IF(AW62="",IF(AW61="",AX61*AX61/AX60,(AW61/$AW$8)^(1/(AV61-$AV$8))*AX61),""))</f>
        <v/>
      </c>
      <c r="AY62" s="1">
        <f>MAX(AW62:AX62)</f>
        <v/>
      </c>
      <c r="BA62">
        <f>BA61+1</f>
        <v/>
      </c>
      <c r="BB62" s="1" t="n">
        <v>74.2</v>
      </c>
      <c r="BD62">
        <f>IF(BA62&lt;$B$4,BD63*BB62/BB63,IF(BA62&gt;$B$5,BD61*BB62/BB61,VLOOKUP(BA62,$A$8:$D$119,4,FALSE)))</f>
        <v/>
      </c>
      <c r="BE62">
        <f>$BD$75/BD62</f>
        <v/>
      </c>
      <c r="BF62" t="inlineStr">
        <is>
          <t>\ ///</t>
        </is>
      </c>
      <c r="BG62">
        <f>BA62</f>
        <v/>
      </c>
    </row>
    <row r="63">
      <c r="AV63" t="n">
        <v>2003</v>
      </c>
      <c r="AW63" t="n">
        <v>77.7</v>
      </c>
      <c r="AX63">
        <f>IF(AND(AW64="",NOT(AW63="")),AW63,IF(AW63="",IF(AW62="",AX62*AX62/AX61,(AW62/$AW$8)^(1/(AV62-$AV$8))*AX62),""))</f>
        <v/>
      </c>
      <c r="AY63" s="1">
        <f>MAX(AW63:AX63)</f>
        <v/>
      </c>
      <c r="BA63">
        <f>BA62+1</f>
        <v/>
      </c>
      <c r="BB63" s="1" t="n">
        <v>75.09999999999999</v>
      </c>
      <c r="BD63">
        <f>IF(BA63&lt;$B$4,BD64*BB63/BB64,IF(BA63&gt;$B$5,BD62*BB63/BB62,VLOOKUP(BA63,$A$8:$D$119,4,FALSE)))</f>
        <v/>
      </c>
      <c r="BE63">
        <f>$BD$75/BD63</f>
        <v/>
      </c>
      <c r="BF63" t="inlineStr">
        <is>
          <t>\ ///</t>
        </is>
      </c>
      <c r="BG63">
        <f>BA63</f>
        <v/>
      </c>
    </row>
    <row r="64">
      <c r="AV64" t="n">
        <v>2004</v>
      </c>
      <c r="AW64" t="n">
        <v>79.59999999999999</v>
      </c>
      <c r="AX64">
        <f>IF(AND(AW65="",NOT(AW64="")),AW64,IF(AW64="",IF(AW63="",AX63*AX63/AX62,(AW63/$AW$8)^(1/(AV63-$AV$8))*AX63),""))</f>
        <v/>
      </c>
      <c r="AY64" s="1">
        <f>MAX(AW64:AX64)</f>
        <v/>
      </c>
      <c r="BA64">
        <f>BA63+1</f>
        <v/>
      </c>
      <c r="BB64" s="1" t="n">
        <v>76.40000000000001</v>
      </c>
      <c r="BD64">
        <f>IF(BA64&lt;$B$4,BD65*BB64/BB65,IF(BA64&gt;$B$5,BD63*BB64/BB63,VLOOKUP(BA64,$A$8:$D$119,4,FALSE)))</f>
        <v/>
      </c>
      <c r="BE64">
        <f>$BD$75/BD64</f>
        <v/>
      </c>
      <c r="BF64" t="inlineStr">
        <is>
          <t>\ ///</t>
        </is>
      </c>
      <c r="BG64">
        <f>BA64</f>
        <v/>
      </c>
    </row>
    <row r="65">
      <c r="AV65" t="n">
        <v>2005</v>
      </c>
      <c r="AW65" t="n">
        <v>81.59999999999999</v>
      </c>
      <c r="AX65">
        <f>IF(AND(AW66="",NOT(AW65="")),AW65,IF(AW65="",IF(AW64="",AX64*AX64/AX63,(AW64/$AW$8)^(1/(AV64-$AV$8))*AX64),""))</f>
        <v/>
      </c>
      <c r="AY65" s="1">
        <f>MAX(AW65:AX65)</f>
        <v/>
      </c>
      <c r="BA65">
        <f>BA64+1</f>
        <v/>
      </c>
      <c r="BB65" s="1" t="n">
        <v>77.8</v>
      </c>
      <c r="BD65">
        <f>IF(BA65&lt;$B$4,BD66*BB65/BB66,IF(BA65&gt;$B$5,BD64*BB65/BB64,VLOOKUP(BA65,$A$8:$D$119,4,FALSE)))</f>
        <v/>
      </c>
      <c r="BE65">
        <f>$BD$75/BD65</f>
        <v/>
      </c>
      <c r="BF65" t="inlineStr">
        <is>
          <t>\ ///</t>
        </is>
      </c>
      <c r="BG65">
        <f>BA65</f>
        <v/>
      </c>
    </row>
    <row r="66">
      <c r="AV66" t="n">
        <v>2006</v>
      </c>
      <c r="AW66" t="n">
        <v>83.7</v>
      </c>
      <c r="AX66">
        <f>IF(AND(AW67="",NOT(AW66="")),AW66,IF(AW66="",IF(AW65="",AX65*AX65/AX64,(AW65/$AW$8)^(1/(AV65-$AV$8))*AX65),""))</f>
        <v/>
      </c>
      <c r="AY66" s="1">
        <f>MAX(AW66:AX66)</f>
        <v/>
      </c>
      <c r="BA66">
        <f>BA65+1</f>
        <v/>
      </c>
      <c r="BB66" s="1" t="n">
        <v>80.09999999999999</v>
      </c>
      <c r="BD66">
        <f>IF(BA66&lt;$B$4,BD67*BB66/BB67,IF(BA66&gt;$B$5,BD65*BB66/BB65,VLOOKUP(BA66,$A$8:$D$119,4,FALSE)))</f>
        <v/>
      </c>
      <c r="BE66">
        <f>$BD$75/BD66</f>
        <v/>
      </c>
      <c r="BF66" t="inlineStr">
        <is>
          <t>\ ///</t>
        </is>
      </c>
      <c r="BG66">
        <f>BA66</f>
        <v/>
      </c>
    </row>
    <row r="67">
      <c r="AV67" t="n">
        <v>2007</v>
      </c>
      <c r="AW67" t="n">
        <v>85.7</v>
      </c>
      <c r="AX67">
        <f>IF(AND(AW68="",NOT(AW67="")),AW67,IF(AW67="",IF(AW66="",AX66*AX66/AX65,(AW66/$AW$8)^(1/(AV66-$AV$8))*AX66),""))</f>
        <v/>
      </c>
      <c r="AY67" s="1">
        <f>MAX(AW67:AX67)</f>
        <v/>
      </c>
      <c r="BA67">
        <f>BA66+1</f>
        <v/>
      </c>
      <c r="BB67" s="1" t="n">
        <v>81.40000000000001</v>
      </c>
      <c r="BD67">
        <f>IF(BA67&lt;$B$4,BD68*BB67/BB68,IF(BA67&gt;$B$5,BD66*BB67/BB66,VLOOKUP(BA67,$A$8:$D$119,4,FALSE)))</f>
        <v/>
      </c>
      <c r="BE67">
        <f>$BD$75/BD67</f>
        <v/>
      </c>
      <c r="BF67" t="inlineStr">
        <is>
          <t>\ ///</t>
        </is>
      </c>
      <c r="BG67">
        <f>BA67</f>
        <v/>
      </c>
    </row>
    <row r="68">
      <c r="AV68" t="n">
        <v>2008</v>
      </c>
      <c r="AW68" t="n">
        <v>85.40000000000001</v>
      </c>
      <c r="AX68">
        <f>IF(AND(AW69="",NOT(AW68="")),AW68,IF(AW68="",IF(AW67="",AX67*AX67/AX66,(AW67/$AW$8)^(1/(AV67-$AV$8))*AX67),""))</f>
        <v/>
      </c>
      <c r="AY68" s="1">
        <f>MAX(AW68:AX68)</f>
        <v/>
      </c>
      <c r="BA68">
        <f>BA67+1</f>
        <v/>
      </c>
      <c r="BB68" s="1" t="n">
        <v>84.59999999999999</v>
      </c>
      <c r="BD68">
        <f>IF(BA68&lt;$B$4,BD69*BB68/BB69,IF(BA68&gt;$B$5,BD67*BB68/BB67,VLOOKUP(BA68,$A$8:$D$119,4,FALSE)))</f>
        <v/>
      </c>
      <c r="BE68">
        <f>$BD$75/BD68</f>
        <v/>
      </c>
      <c r="BF68" t="inlineStr">
        <is>
          <t>\ ///</t>
        </is>
      </c>
      <c r="BG68">
        <f>BA68</f>
        <v/>
      </c>
    </row>
    <row r="69">
      <c r="AV69" t="n">
        <v>2009</v>
      </c>
      <c r="AW69" t="n">
        <v>81.8</v>
      </c>
      <c r="AX69">
        <f>IF(AND(AW70="",NOT(AW69="")),AW69,IF(AW69="",IF(AW68="",AX68*AX68/AX67,(AW68/$AW$8)^(1/(AV68-$AV$8))*AX68),""))</f>
        <v/>
      </c>
      <c r="AY69" s="1">
        <f>MAX(AW69:AX69)</f>
        <v/>
      </c>
      <c r="BA69">
        <f>BA68+1</f>
        <v/>
      </c>
      <c r="BB69" s="1" t="n">
        <v>85.40000000000001</v>
      </c>
      <c r="BD69">
        <f>IF(BA69&lt;$B$4,BD70*BB69/BB70,IF(BA69&gt;$B$5,BD68*BB69/BB68,VLOOKUP(BA69,$A$8:$D$119,4,FALSE)))</f>
        <v/>
      </c>
      <c r="BE69">
        <f>$BD$75/BD69</f>
        <v/>
      </c>
      <c r="BF69" t="inlineStr">
        <is>
          <t>\ ///</t>
        </is>
      </c>
      <c r="BG69">
        <f>BA69</f>
        <v/>
      </c>
    </row>
    <row r="70">
      <c r="AV70" t="n">
        <v>2010</v>
      </c>
      <c r="AW70" t="n">
        <v>83.59999999999999</v>
      </c>
      <c r="AX70">
        <f>IF(AND(AW71="",NOT(AW70="")),AW70,IF(AW70="",IF(AW69="",AX69*AX69/AX68,(AW69/$AW$8)^(1/(AV69-$AV$8))*AX69),""))</f>
        <v/>
      </c>
      <c r="AY70" s="1">
        <f>MAX(AW70:AX70)</f>
        <v/>
      </c>
      <c r="BA70">
        <f>BA69+1</f>
        <v/>
      </c>
      <c r="BB70" s="1" t="n">
        <v>86.3</v>
      </c>
      <c r="BD70">
        <f>IF(BA70&lt;$B$4,BD71*BB70/BB71,IF(BA70&gt;$B$5,BD69*BB70/BB69,VLOOKUP(BA70,$A$8:$D$119,4,FALSE)))</f>
        <v/>
      </c>
      <c r="BE70">
        <f>$BD$75/BD70</f>
        <v/>
      </c>
      <c r="BF70" t="inlineStr">
        <is>
          <t>\ ///</t>
        </is>
      </c>
      <c r="BG70">
        <f>BA70</f>
        <v/>
      </c>
    </row>
    <row r="71">
      <c r="AV71" t="n">
        <v>2011</v>
      </c>
      <c r="AW71" t="n">
        <v>84.8</v>
      </c>
      <c r="AX71">
        <f>IF(AND(AW72="",NOT(AW71="")),AW71,IF(AW71="",IF(AW70="",AX70*AX70/AX69,(AW70/$AW$8)^(1/(AV70-$AV$8))*AX70),""))</f>
        <v/>
      </c>
      <c r="AY71" s="1">
        <f>MAX(AW71:AX71)</f>
        <v/>
      </c>
      <c r="BA71">
        <f>BA70+1</f>
        <v/>
      </c>
      <c r="BB71" s="1" t="n">
        <v>89.8</v>
      </c>
      <c r="BD71">
        <f>IF(BA71&lt;$B$4,BD72*BB71/BB72,IF(BA71&gt;$B$5,BD70*BB71/BB70,VLOOKUP(BA71,$A$8:$D$119,4,FALSE)))</f>
        <v/>
      </c>
      <c r="BE71">
        <f>$BD$75/BD71</f>
        <v/>
      </c>
      <c r="BF71" t="inlineStr">
        <is>
          <t>\ ///</t>
        </is>
      </c>
      <c r="BG71">
        <f>BA71</f>
        <v/>
      </c>
    </row>
    <row r="72">
      <c r="AV72" t="n">
        <v>2012</v>
      </c>
      <c r="AW72" t="n">
        <v>86</v>
      </c>
      <c r="AX72">
        <f>IF(AND(AW73="",NOT(AW72="")),AW72,IF(AW72="",IF(AW71="",AX71*AX71/AX70,(AW71/$AW$8)^(1/(AV71-$AV$8))*AX71),""))</f>
        <v/>
      </c>
      <c r="AY72" s="1">
        <f>MAX(AW72:AX72)</f>
        <v/>
      </c>
      <c r="BA72">
        <f>BA71+1</f>
        <v/>
      </c>
      <c r="BB72" s="1" t="n">
        <v>91.40000000000001</v>
      </c>
      <c r="BD72">
        <f>IF(BA72&lt;$B$4,BD73*BB72/BB73,IF(BA72&gt;$B$5,BD71*BB72/BB71,VLOOKUP(BA72,$A$8:$D$119,4,FALSE)))</f>
        <v/>
      </c>
      <c r="BE72">
        <f>$BD$75/BD72</f>
        <v/>
      </c>
      <c r="BF72" t="inlineStr">
        <is>
          <t>\ ///</t>
        </is>
      </c>
      <c r="BG72">
        <f>BA72</f>
        <v/>
      </c>
    </row>
    <row r="73">
      <c r="AV73" t="n">
        <v>2013</v>
      </c>
      <c r="AW73" t="n">
        <v>87.59999999999999</v>
      </c>
      <c r="AX73">
        <f>IF(AND(AW74="",NOT(AW73="")),AW73,IF(AW73="",IF(AW72="",AX72*AX72/AX71,(AW72/$AW$8)^(1/(AV72-$AV$8))*AX72),""))</f>
        <v/>
      </c>
      <c r="AY73" s="1">
        <f>MAX(AW73:AX73)</f>
        <v/>
      </c>
      <c r="BA73">
        <f>BA72+1</f>
        <v/>
      </c>
      <c r="BB73" s="1" t="n">
        <v>93.3</v>
      </c>
      <c r="BD73">
        <f>IF(BA73&lt;$B$4,BD74*BB73/BB74,IF(BA73&gt;$B$5,BD72*BB73/BB72,VLOOKUP(BA73,$A$8:$D$119,4,FALSE)))</f>
        <v/>
      </c>
      <c r="BE73">
        <f>$BD$75/BD73</f>
        <v/>
      </c>
      <c r="BF73" t="inlineStr">
        <is>
          <t>\ ///</t>
        </is>
      </c>
      <c r="BG73">
        <f>BA73</f>
        <v/>
      </c>
    </row>
    <row r="74">
      <c r="AV74" t="n">
        <v>2014</v>
      </c>
      <c r="AW74" t="n">
        <v>90.3</v>
      </c>
      <c r="AX74">
        <f>IF(AND(AW75="",NOT(AW74="")),AW74,IF(AW74="",IF(AW73="",AX73*AX73/AX72,(AW73/$AW$8)^(1/(AV73-$AV$8))*AX73),""))</f>
        <v/>
      </c>
      <c r="AY74" s="1">
        <f>MAX(AW74:AX74)</f>
        <v/>
      </c>
      <c r="BA74">
        <f>BA73+1</f>
        <v/>
      </c>
      <c r="BB74" s="1" t="n">
        <v>94.2</v>
      </c>
      <c r="BD74">
        <f>IF(BA74&lt;$B$4,BD75*BB74/BB75,IF(BA74&gt;$B$5,BD73*BB74/BB73,VLOOKUP(BA74,$A$8:$D$119,4,FALSE)))</f>
        <v/>
      </c>
      <c r="BE74">
        <f>$BD$75/BD74</f>
        <v/>
      </c>
      <c r="BF74" t="inlineStr">
        <is>
          <t>\ ///</t>
        </is>
      </c>
      <c r="BG74">
        <f>BA74</f>
        <v/>
      </c>
    </row>
    <row r="75">
      <c r="AV75" t="n">
        <v>2015</v>
      </c>
      <c r="AW75" t="n">
        <v>92.59999999999999</v>
      </c>
      <c r="AX75">
        <f>IF(AND(AW76="",NOT(AW75="")),AW75,IF(AW75="",IF(AW74="",AX74*AX74/AX73,(AW74/$AW$8)^(1/(AV74-$AV$8))*AX74),""))</f>
        <v/>
      </c>
      <c r="AY75" s="1">
        <f>MAX(AW75:AX75)</f>
        <v/>
      </c>
      <c r="BA75">
        <f>BA74+1</f>
        <v/>
      </c>
      <c r="BB75" s="1" t="n">
        <v>93.90000000000001</v>
      </c>
      <c r="BD75">
        <f>IF(BA75&lt;$B$4,BD76*BB75/BB76,IF(BA75&gt;$B$5,BD74*BB75/BB74,VLOOKUP(BA75,$A$8:$D$119,4,FALSE)))</f>
        <v/>
      </c>
      <c r="BE75">
        <f>$BD$75/BD75</f>
        <v/>
      </c>
      <c r="BF75" t="inlineStr">
        <is>
          <t>\ ///</t>
        </is>
      </c>
      <c r="BG75">
        <f>BA75</f>
        <v/>
      </c>
    </row>
    <row r="76">
      <c r="AV76" t="n">
        <v>2016</v>
      </c>
      <c r="AW76" t="n">
        <v>94.7</v>
      </c>
      <c r="AX76">
        <f>IF(AND(AW77="",NOT(AW76="")),AW76,IF(AW76="",IF(AW75="",AX75*AX75/AX74,(AW75/$AW$8)^(1/(AV75-$AV$8))*AX75),""))</f>
        <v/>
      </c>
      <c r="AY76" s="1">
        <f>MAX(AW76:AX76)</f>
        <v/>
      </c>
      <c r="BA76">
        <f>BA75+1</f>
        <v/>
      </c>
      <c r="BB76" s="1" t="n">
        <v>95</v>
      </c>
      <c r="BD76">
        <f>IF(BA76&lt;$B$4,BD77*BB76/BB77,IF(BA76&gt;$B$5,BD75*BB76/BB75,VLOOKUP(BA76,$A$8:$D$119,4,FALSE)))</f>
        <v/>
      </c>
      <c r="BE76">
        <f>$BD$75/BD76</f>
        <v/>
      </c>
      <c r="BF76" t="inlineStr">
        <is>
          <t>\ ///</t>
        </is>
      </c>
      <c r="BG76">
        <f>BA76</f>
        <v/>
      </c>
    </row>
    <row r="77">
      <c r="AV77" t="n">
        <v>2017</v>
      </c>
      <c r="AW77" t="n">
        <v>96.8</v>
      </c>
      <c r="AX77">
        <f>IF(AND(AW78="",NOT(AW77="")),AW77,IF(AW77="",IF(AW76="",AX76*AX76/AX75,(AW76/$AW$8)^(1/(AV76-$AV$8))*AX76),""))</f>
        <v/>
      </c>
      <c r="AY77" s="1">
        <f>MAX(AW77:AX77)</f>
        <v/>
      </c>
      <c r="BA77">
        <f>BA76+1</f>
        <v/>
      </c>
      <c r="BB77" s="1" t="n">
        <v>96.7</v>
      </c>
      <c r="BD77">
        <f>IF(BA77&lt;$B$4,BD78*BB77/BB78,IF(BA77&gt;$B$5,BD76*BB77/BB76,VLOOKUP(BA77,$A$8:$D$119,4,FALSE)))</f>
        <v/>
      </c>
      <c r="BE77">
        <f>$BD$75/BD77</f>
        <v/>
      </c>
      <c r="BF77" t="inlineStr">
        <is>
          <t>\ ///</t>
        </is>
      </c>
      <c r="BG77">
        <f>BA77</f>
        <v/>
      </c>
    </row>
    <row r="78">
      <c r="AV78" t="n">
        <v>2018</v>
      </c>
      <c r="AW78" t="n">
        <v>98.40000000000001</v>
      </c>
      <c r="AX78">
        <f>IF(AND(AW79="",NOT(AW78="")),AW78,IF(AW78="",IF(AW77="",AX77*AX77/AX76,(AW77/$AW$8)^(1/(AV77-$AV$8))*AX77),""))</f>
        <v/>
      </c>
      <c r="AY78" s="1">
        <f>MAX(AW78:AX78)</f>
        <v/>
      </c>
      <c r="BA78">
        <f>BA77+1</f>
        <v/>
      </c>
      <c r="BB78" s="1" t="n">
        <v>98.40000000000001</v>
      </c>
      <c r="BD78">
        <f>IF(BA78&lt;$B$4,BD79*BB78/BB79,IF(BA78&gt;$B$5,BD77*BB78/BB77,VLOOKUP(BA78,$A$8:$D$119,4,FALSE)))</f>
        <v/>
      </c>
      <c r="BE78">
        <f>$BD$75/BD78</f>
        <v/>
      </c>
      <c r="BF78" t="inlineStr">
        <is>
          <t>\ ///</t>
        </is>
      </c>
      <c r="BG78">
        <f>BA78</f>
        <v/>
      </c>
    </row>
    <row r="79">
      <c r="AV79" t="n">
        <v>2019</v>
      </c>
      <c r="AW79" t="n">
        <v>100</v>
      </c>
      <c r="AX79">
        <f>IF(AND(AW80="",NOT(AW79="")),AW79,IF(AW79="",IF(AW78="",AX78*AX78/AX77,(AW78/$AW$8)^(1/(AV78-$AV$8))*AX78),""))</f>
        <v/>
      </c>
      <c r="AY79" s="1">
        <f>MAX(AW79:AX79)</f>
        <v/>
      </c>
      <c r="BA79">
        <f>BA78+1</f>
        <v/>
      </c>
      <c r="BB79" s="1" t="n">
        <v>100</v>
      </c>
      <c r="BD79">
        <f>IF(BA79&lt;$B$4,BD80*BB79/BB80,IF(BA79&gt;$B$5,BD78*BB79/BB78,VLOOKUP(BA79,$A$8:$D$119,4,FALSE)))</f>
        <v/>
      </c>
      <c r="BE79">
        <f>$BD$75/BD79</f>
        <v/>
      </c>
      <c r="BF79" t="inlineStr">
        <is>
          <t>\ ///</t>
        </is>
      </c>
      <c r="BG79">
        <f>BA79</f>
        <v/>
      </c>
    </row>
    <row r="80">
      <c r="AV80" t="n">
        <v>2020</v>
      </c>
      <c r="AW80" t="n">
        <v>90.59999999999999</v>
      </c>
      <c r="AX80">
        <f>IF(AND(AW81="",NOT(AW80="")),AW80,IF(AW80="",IF(AW79="",AX79*AX79/AX78,(AW79/$AW$8)^(1/(AV79-$AV$8))*AX79),""))</f>
        <v/>
      </c>
      <c r="AY80" s="1">
        <f>MAX(AW80:AX80)</f>
        <v/>
      </c>
      <c r="BA80">
        <f>BA79+1</f>
        <v/>
      </c>
      <c r="BB80" s="1" t="n">
        <v>100.5</v>
      </c>
      <c r="BD80">
        <f>IF(BA80&lt;$B$4,BD81*BB80/BB81,IF(BA80&gt;$B$5,BD79*BB80/BB79,VLOOKUP(BA80,$A$8:$D$119,4,FALSE)))</f>
        <v/>
      </c>
      <c r="BE80">
        <f>$BD$75/BD80</f>
        <v/>
      </c>
      <c r="BF80" t="inlineStr">
        <is>
          <t>\ ///</t>
        </is>
      </c>
      <c r="BG80">
        <f>BA80</f>
        <v/>
      </c>
    </row>
    <row r="81">
      <c r="AV81" t="n">
        <v>2021</v>
      </c>
      <c r="AW81" t="n">
        <v>97.40000000000001</v>
      </c>
      <c r="AX81" s="1">
        <f>IF(AND(AW82="",NOT(AW81="")),AW81,IF(AW81="",IF(AW80="",AX80*AX80/AX79,(AW80/$AW$8)^(1/(AV80-$AV$8))*AX80),""))</f>
        <v/>
      </c>
      <c r="AY81" s="1">
        <f>MAX(AW81:AX81)</f>
        <v/>
      </c>
      <c r="BA81">
        <f>BA80+1</f>
        <v/>
      </c>
      <c r="BB81" s="1" t="n">
        <v>103.4</v>
      </c>
      <c r="BD81">
        <f>IF(BA81&lt;$B$4,BD82*BB81/BB82,IF(BA81&gt;$B$5,BD80*BB81/BB80,VLOOKUP(BA81,$A$8:$D$119,4,FALSE)))</f>
        <v/>
      </c>
      <c r="BE81">
        <f>$BD$75/BD81</f>
        <v/>
      </c>
      <c r="BF81" t="inlineStr">
        <is>
          <t>\ ///</t>
        </is>
      </c>
      <c r="BG81">
        <f>BA81</f>
        <v/>
      </c>
    </row>
    <row r="82">
      <c r="AV82">
        <f>AV81+1</f>
        <v/>
      </c>
      <c r="AX82" s="1">
        <f>IF(AND(AW83="",NOT(AW82="")),AW82,IF(AW82="",IF(AW81="",AX81*AX81/AX80,(AW81/$AW$8)^(1/(AV81-$AV$8))*AX81),""))</f>
        <v/>
      </c>
      <c r="AY82" s="1">
        <f>MAX(AW82:AX82)</f>
        <v/>
      </c>
    </row>
    <row r="83">
      <c r="AV83">
        <f>AV82+1</f>
        <v/>
      </c>
      <c r="AX83" s="1">
        <f>IF(AND(AW84="",NOT(AW83="")),AW83,IF(AW83="",IF(AW82="",AX82*AX82/AX81,(AW82/$AW$8)^(1/(AV82-$AV$8))*AX82),""))</f>
        <v/>
      </c>
      <c r="AY83" s="1">
        <f>MAX(AW83:AX83)</f>
        <v/>
      </c>
    </row>
    <row r="84">
      <c r="AV84">
        <f>AV83+1</f>
        <v/>
      </c>
      <c r="AX84" s="1">
        <f>IF(AND(AW85="",NOT(AW84="")),AW84,IF(AW84="",IF(AW83="",AX83*AX83/AX82,(AW83/$AW$8)^(1/(AV83-$AV$8))*AX83),""))</f>
        <v/>
      </c>
      <c r="AY84" s="1">
        <f>MAX(AW84:AX84)</f>
        <v/>
      </c>
    </row>
    <row r="85">
      <c r="AV85">
        <f>AV84+1</f>
        <v/>
      </c>
      <c r="AX85" s="1">
        <f>IF(AND(AW86="",NOT(AW85="")),AW85,IF(AW85="",IF(AW84="",AX84*AX84/AX83,(AW84/$AW$8)^(1/(AV84-$AV$8))*AX84),""))</f>
        <v/>
      </c>
      <c r="AY85" s="1">
        <f>MAX(AW85:AX85)</f>
        <v/>
      </c>
    </row>
    <row r="86">
      <c r="AV86">
        <f>AV85+1</f>
        <v/>
      </c>
      <c r="AX86" s="1">
        <f>IF(AND(AW87="",NOT(AW86="")),AW86,IF(AW86="",IF(AW85="",AX85*AX85/AX84,(AW85/$AW$8)^(1/(AV85-$AV$8))*AX85),""))</f>
        <v/>
      </c>
      <c r="AY86" s="1">
        <f>MAX(AW86:AX86)</f>
        <v/>
      </c>
    </row>
    <row r="87">
      <c r="AV87">
        <f>AV86+1</f>
        <v/>
      </c>
      <c r="AX87" s="1">
        <f>IF(AND(AW88="",NOT(AW87="")),AW87,IF(AW87="",IF(AW86="",AX86*AX86/AX85,(AW86/$AW$8)^(1/(AV86-$AV$8))*AX86),""))</f>
        <v/>
      </c>
      <c r="AY87" s="1">
        <f>MAX(AW87:AX87)</f>
        <v/>
      </c>
    </row>
    <row r="88">
      <c r="AV88">
        <f>AV87+1</f>
        <v/>
      </c>
      <c r="AX88" s="1">
        <f>IF(AND(AW89="",NOT(AW88="")),AW88,IF(AW88="",IF(AW87="",AX87*AX87/AX86,(AW87/$AW$8)^(1/(AV87-$AV$8))*AX87),""))</f>
        <v/>
      </c>
      <c r="AY88" s="1">
        <f>MAX(AW88:AX88)</f>
        <v/>
      </c>
    </row>
    <row r="89">
      <c r="AV89">
        <f>AV88+1</f>
        <v/>
      </c>
      <c r="AX89" s="1">
        <f>IF(AND(AW90="",NOT(AW89="")),AW89,IF(AW89="",IF(AW88="",AX88*AX88/AX87,(AW88/$AW$8)^(1/(AV88-$AV$8))*AX88),""))</f>
        <v/>
      </c>
      <c r="AY89" s="1">
        <f>MAX(AW89:AX89)</f>
        <v/>
      </c>
    </row>
    <row r="90">
      <c r="AV90">
        <f>AV89+1</f>
        <v/>
      </c>
      <c r="AX90" s="1">
        <f>IF(AND(AW91="",NOT(AW90="")),AW90,IF(AW90="",IF(AW89="",AX89*AX89/AX88,(AW89/$AW$8)^(1/(AV89-$AV$8))*AX89),""))</f>
        <v/>
      </c>
      <c r="AY90" s="1">
        <f>MAX(AW90:AX90)</f>
        <v/>
      </c>
    </row>
    <row r="91">
      <c r="AV91">
        <f>AV90+1</f>
        <v/>
      </c>
      <c r="AX91" s="1">
        <f>IF(AND(AW92="",NOT(AW91="")),AW91,IF(AW91="",IF(AW90="",AX90*AX90/AX89,(AW90/$AW$8)^(1/(AV90-$AV$8))*AX90),""))</f>
        <v/>
      </c>
      <c r="AY91" s="1">
        <f>MAX(AW91:AX91)</f>
        <v/>
      </c>
    </row>
    <row r="92">
      <c r="AV92">
        <f>AV91+1</f>
        <v/>
      </c>
      <c r="AX92" s="1">
        <f>IF(AND(AW93="",NOT(AW92="")),AW92,IF(AW92="",IF(AW91="",AX91*AX91/AX90,(AW91/$AW$8)^(1/(AV91-$AV$8))*AX91),""))</f>
        <v/>
      </c>
      <c r="AY92" s="1">
        <f>MAX(AW92:AX92)</f>
        <v/>
      </c>
    </row>
    <row r="93">
      <c r="AV93">
        <f>AV92+1</f>
        <v/>
      </c>
      <c r="AX93" s="1">
        <f>IF(AND(AW94="",NOT(AW93="")),AW93,IF(AW93="",IF(AW92="",AX92*AX92/AX91,(AW92/$AW$8)^(1/(AV92-$AV$8))*AX92),""))</f>
        <v/>
      </c>
      <c r="AY93" s="1">
        <f>MAX(AW93:AX93)</f>
        <v/>
      </c>
    </row>
    <row r="94">
      <c r="AV94">
        <f>AV93+1</f>
        <v/>
      </c>
      <c r="AX94" s="1">
        <f>IF(AND(AW95="",NOT(AW94="")),AW94,IF(AW94="",IF(AW93="",AX93*AX93/AX92,(AW93/$AW$8)^(1/(AV93-$AV$8))*AX93),""))</f>
        <v/>
      </c>
      <c r="AY94" s="1">
        <f>MAX(AW94:AX94)</f>
        <v/>
      </c>
    </row>
    <row r="95">
      <c r="AV95">
        <f>AV94+1</f>
        <v/>
      </c>
      <c r="AX95" s="1">
        <f>IF(AND(AW96="",NOT(AW95="")),AW95,IF(AW95="",IF(AW94="",AX94*AX94/AX93,(AW94/$AW$8)^(1/(AV94-$AV$8))*AX94),""))</f>
        <v/>
      </c>
      <c r="AY95" s="1">
        <f>MAX(AW95:AX95)</f>
        <v/>
      </c>
    </row>
    <row r="96">
      <c r="AV96">
        <f>AV95+1</f>
        <v/>
      </c>
      <c r="AX96" s="1">
        <f>IF(AND(AW97="",NOT(AW96="")),AW96,IF(AW96="",IF(AW95="",AX95*AX95/AX94,(AW95/$AW$8)^(1/(AV95-$AV$8))*AX95),""))</f>
        <v/>
      </c>
      <c r="AY96" s="1">
        <f>MAX(AW96:AX96)</f>
        <v/>
      </c>
    </row>
    <row r="97">
      <c r="AV97">
        <f>AV96+1</f>
        <v/>
      </c>
      <c r="AX97" s="1">
        <f>IF(AND(AW98="",NOT(AW97="")),AW97,IF(AW97="",IF(AW96="",AX96*AX96/AX95,(AW96/$AW$8)^(1/(AV96-$AV$8))*AX96),""))</f>
        <v/>
      </c>
      <c r="AY97" s="1">
        <f>MAX(AW97:AX97)</f>
        <v/>
      </c>
    </row>
    <row r="98">
      <c r="AV98">
        <f>AV97+1</f>
        <v/>
      </c>
      <c r="AX98" s="1">
        <f>IF(AND(AW99="",NOT(AW98="")),AW98,IF(AW98="",IF(AW97="",AX97*AX97/AX96,(AW97/$AW$8)^(1/(AV97-$AV$8))*AX97),""))</f>
        <v/>
      </c>
      <c r="AY98" s="1">
        <f>MAX(AW98:AX98)</f>
        <v/>
      </c>
    </row>
    <row r="99">
      <c r="AV99">
        <f>AV98+1</f>
        <v/>
      </c>
      <c r="AX99" s="1">
        <f>IF(AND(AW100="",NOT(AW99="")),AW99,IF(AW99="",IF(AW98="",AX98*AX98/AX97,(AW98/$AW$8)^(1/(AV98-$AV$8))*AX98),""))</f>
        <v/>
      </c>
      <c r="AY99" s="1">
        <f>MAX(AW99:AX99)</f>
        <v/>
      </c>
    </row>
    <row r="100">
      <c r="AV100">
        <f>AV99+1</f>
        <v/>
      </c>
      <c r="AX100" s="1">
        <f>IF(AND(AW101="",NOT(AW100="")),AW100,IF(AW100="",IF(AW99="",AX99*AX99/AX98,(AW99/$AW$8)^(1/(AV99-$AV$8))*AX99),""))</f>
        <v/>
      </c>
      <c r="AY100" s="1">
        <f>MAX(AW100:AX100)</f>
        <v/>
      </c>
    </row>
    <row r="101">
      <c r="AV101">
        <f>AV100+1</f>
        <v/>
      </c>
      <c r="AX101" s="1">
        <f>IF(AND(AW102="",NOT(AW101="")),AW101,IF(AW101="",IF(AW100="",AX100*AX100/AX99,(AW100/$AW$8)^(1/(AV100-$AV$8))*AX100),""))</f>
        <v/>
      </c>
      <c r="AY101" s="1">
        <f>MAX(AW101:AX101)</f>
        <v/>
      </c>
    </row>
    <row r="102">
      <c r="AV102">
        <f>AV101+1</f>
        <v/>
      </c>
      <c r="AX102" s="1">
        <f>IF(AND(AW103="",NOT(AW102="")),AW102,IF(AW102="",IF(AW101="",AX101*AX101/AX100,(AW101/$AW$8)^(1/(AV101-$AV$8))*AX101),""))</f>
        <v/>
      </c>
      <c r="AY102" s="1">
        <f>MAX(AW102:AX102)</f>
        <v/>
      </c>
    </row>
    <row r="103">
      <c r="AV103">
        <f>AV102+1</f>
        <v/>
      </c>
      <c r="AX103" s="1">
        <f>IF(AND(AW104="",NOT(AW103="")),AW103,IF(AW103="",IF(AW102="",AX102*AX102/AX101,(AW102/$AW$8)^(1/(AV102-$AV$8))*AX102),""))</f>
        <v/>
      </c>
      <c r="AY103" s="1">
        <f>MAX(AW103:AX103)</f>
        <v/>
      </c>
    </row>
    <row r="104">
      <c r="AV104">
        <f>AV103+1</f>
        <v/>
      </c>
      <c r="AX104" s="1">
        <f>IF(AND(AW105="",NOT(AW104="")),AW104,IF(AW104="",IF(AW103="",AX103*AX103/AX102,(AW103/$AW$8)^(1/(AV103-$AV$8))*AX103),""))</f>
        <v/>
      </c>
      <c r="AY104" s="1">
        <f>MAX(AW104:AX104)</f>
        <v/>
      </c>
    </row>
    <row r="105">
      <c r="AV105">
        <f>AV104+1</f>
        <v/>
      </c>
      <c r="AX105" s="1">
        <f>IF(AND(AW106="",NOT(AW105="")),AW105,IF(AW105="",IF(AW104="",AX104*AX104/AX103,(AW104/$AW$8)^(1/(AV104-$AV$8))*AX104),""))</f>
        <v/>
      </c>
      <c r="AY105" s="1">
        <f>MAX(AW105:AX105)</f>
        <v/>
      </c>
    </row>
    <row r="106">
      <c r="AV106">
        <f>AV105+1</f>
        <v/>
      </c>
      <c r="AX106" s="1">
        <f>IF(AND(AW107="",NOT(AW106="")),AW106,IF(AW106="",IF(AW105="",AX105*AX105/AX104,(AW105/$AW$8)^(1/(AV105-$AV$8))*AX105),""))</f>
        <v/>
      </c>
      <c r="AY106" s="1">
        <f>MAX(AW106:AX106)</f>
        <v/>
      </c>
    </row>
    <row r="107">
      <c r="AV107">
        <f>AV106+1</f>
        <v/>
      </c>
      <c r="AX107" s="1">
        <f>IF(AND(AW108="",NOT(AW107="")),AW107,IF(AW107="",IF(AW106="",AX106*AX106/AX105,(AW106/$AW$8)^(1/(AV106-$AV$8))*AX106),""))</f>
        <v/>
      </c>
      <c r="AY107" s="1">
        <f>MAX(AW107:AX107)</f>
        <v/>
      </c>
    </row>
    <row r="108">
      <c r="AV108">
        <f>AV107+1</f>
        <v/>
      </c>
      <c r="AX108" s="1">
        <f>IF(AND(AW109="",NOT(AW108="")),AW108,IF(AW108="",IF(AW107="",AX107*AX107/AX106,(AW107/$AW$8)^(1/(AV107-$AV$8))*AX107),""))</f>
        <v/>
      </c>
      <c r="AY108" s="1">
        <f>MAX(AW108:AX108)</f>
        <v/>
      </c>
    </row>
    <row r="109">
      <c r="AV109">
        <f>AV108+1</f>
        <v/>
      </c>
      <c r="AX109" s="1">
        <f>IF(AND(AW110="",NOT(AW109="")),AW109,IF(AW109="",IF(AW108="",AX108*AX108/AX107,(AW108/$AW$8)^(1/(AV108-$AV$8))*AX108),""))</f>
        <v/>
      </c>
      <c r="AY109" s="1">
        <f>MAX(AW109:AX109)</f>
        <v/>
      </c>
    </row>
    <row r="110">
      <c r="AV110">
        <f>AV109+1</f>
        <v/>
      </c>
      <c r="AX110" s="1">
        <f>IF(AND(AW111="",NOT(AW110="")),AW110,IF(AW110="",IF(AW109="",AX109*AX109/AX108,(AW109/$AW$8)^(1/(AV109-$AV$8))*AX109),""))</f>
        <v/>
      </c>
      <c r="AY110" s="1">
        <f>MAX(AW110:AX110)</f>
        <v/>
      </c>
    </row>
    <row r="111">
      <c r="AV111">
        <f>AV110+1</f>
        <v/>
      </c>
      <c r="AX111" s="1">
        <f>IF(AND(AW112="",NOT(AW111="")),AW111,IF(AW111="",IF(AW110="",AX110*AX110/AX109,(AW110/$AW$8)^(1/(AV110-$AV$8))*AX110),""))</f>
        <v/>
      </c>
      <c r="AY111" s="1">
        <f>MAX(AW111:AX111)</f>
        <v/>
      </c>
    </row>
    <row r="112">
      <c r="AV112">
        <f>AV111+1</f>
        <v/>
      </c>
      <c r="AX112" s="1">
        <f>IF(AND(AW113="",NOT(AW112="")),AW112,IF(AW112="",IF(AW111="",AX111*AX111/AX110,(AW111/$AW$8)^(1/(AV111-$AV$8))*AX111),""))</f>
        <v/>
      </c>
      <c r="AY112" s="1">
        <f>MAX(AW112:AX112)</f>
        <v/>
      </c>
    </row>
    <row r="113">
      <c r="AV113">
        <f>AV112+1</f>
        <v/>
      </c>
      <c r="AX113" s="1">
        <f>IF(AND(AW114="",NOT(AW113="")),AW113,IF(AW113="",IF(AW112="",AX112*AX112/AX111,(AW112/$AW$8)^(1/(AV112-$AV$8))*AX112),""))</f>
        <v/>
      </c>
      <c r="AY113" s="1">
        <f>MAX(AW113:AX113)</f>
        <v/>
      </c>
    </row>
    <row r="114">
      <c r="AV114">
        <f>AV113+1</f>
        <v/>
      </c>
      <c r="AX114" s="1">
        <f>IF(AND(AW115="",NOT(AW114="")),AW114,IF(AW114="",IF(AW113="",AX113*AX113/AX112,(AW113/$AW$8)^(1/(AV113-$AV$8))*AX113),""))</f>
        <v/>
      </c>
      <c r="AY114" s="1">
        <f>MAX(AW114:AX114)</f>
        <v/>
      </c>
    </row>
    <row r="115">
      <c r="AV115">
        <f>AV114+1</f>
        <v/>
      </c>
      <c r="AX115" s="1">
        <f>IF(AND(AW116="",NOT(AW115="")),AW115,IF(AW115="",IF(AW114="",AX114*AX114/AX113,(AW114/$AW$8)^(1/(AV114-$AV$8))*AX114),""))</f>
        <v/>
      </c>
      <c r="AY115" s="1">
        <f>MAX(AW115:AX115)</f>
        <v/>
      </c>
    </row>
    <row r="116">
      <c r="AV116">
        <f>AV115+1</f>
        <v/>
      </c>
      <c r="AX116" s="1">
        <f>IF(AND(AW117="",NOT(AW116="")),AW116,IF(AW116="",IF(AW115="",AX115*AX115/AX114,(AW115/$AW$8)^(1/(AV115-$AV$8))*AX115),""))</f>
        <v/>
      </c>
      <c r="AY116" s="1">
        <f>MAX(AW116:AX116)</f>
        <v/>
      </c>
    </row>
    <row r="117">
      <c r="AV117">
        <f>AV116+1</f>
        <v/>
      </c>
      <c r="AX117" s="1">
        <f>IF(AND(AW118="",NOT(AW117="")),AW117,IF(AW117="",IF(AW116="",AX116*AX116/AX115,(AW116/$AW$8)^(1/(AV116-$AV$8))*AX116),""))</f>
        <v/>
      </c>
      <c r="AY117" s="1">
        <f>MAX(AW117:AX117)</f>
        <v/>
      </c>
    </row>
    <row r="118">
      <c r="AV118">
        <f>AV117+1</f>
        <v/>
      </c>
      <c r="AX118" s="1">
        <f>IF(AND(AW119="",NOT(AW118="")),AW118,IF(AW118="",IF(AW117="",AX117*AX117/AX116,(AW117/$AW$8)^(1/(AV117-$AV$8))*AX117),""))</f>
        <v/>
      </c>
      <c r="AY118" s="1">
        <f>MAX(AW118:AX118)</f>
        <v/>
      </c>
    </row>
    <row r="119">
      <c r="AV119">
        <f>AV118+1</f>
        <v/>
      </c>
      <c r="AX119" s="1">
        <f>IF(AND(AW120="",NOT(AW119="")),AW119,IF(AW119="",IF(AW118="",AX118*AX118/AX117,(AW118/$AW$8)^(1/(AV118-$AV$8))*AX118),""))</f>
        <v/>
      </c>
      <c r="AY119" s="1">
        <f>MAX(AW119:AX119)</f>
        <v/>
      </c>
    </row>
    <row r="120">
      <c r="AV120">
        <f>AV119+1</f>
        <v/>
      </c>
      <c r="AX120" s="1">
        <f>IF(AND(AW121="",NOT(AW120="")),AW120,IF(AW120="",IF(AW119="",AX119*AX119/AX118,(AW119/$AW$8)^(1/(AV119-$AV$8))*AX119),""))</f>
        <v/>
      </c>
      <c r="AY120" s="1">
        <f>MAX(AW120:AX120)</f>
        <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Patryk Bronka</dc:creator>
  <dcterms:created xsi:type="dcterms:W3CDTF">2015-06-05T18:17:20Z</dcterms:created>
  <dcterms:modified xsi:type="dcterms:W3CDTF">2026-05-15T11:57:20Z</dcterms:modified>
  <cp:lastModifiedBy>David Sonnewald</cp:lastModifiedBy>
</cp:coreProperties>
</file>